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8.xml" ContentType="application/vnd.openxmlformats-officedocument.drawing+xml"/>
  <Override PartName="/xl/timelines/timeline1.xml" ContentType="application/vnd.ms-excel.timelin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9.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0.xml" ContentType="application/vnd.openxmlformats-officedocument.drawing+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Projects\Excel\Tesla Social Media Analytics\"/>
    </mc:Choice>
  </mc:AlternateContent>
  <xr:revisionPtr revIDLastSave="0" documentId="13_ncr:1_{36480349-B2F3-435B-A779-6F0AE58678A4}" xr6:coauthVersionLast="47" xr6:coauthVersionMax="47" xr10:uidLastSave="{00000000-0000-0000-0000-000000000000}"/>
  <bookViews>
    <workbookView xWindow="-110" yWindow="-110" windowWidth="19420" windowHeight="10300" tabRatio="803" firstSheet="5" activeTab="8" xr2:uid="{00000000-000D-0000-FFFF-FFFF00000000}"/>
  </bookViews>
  <sheets>
    <sheet name="Engagement Analysis 1" sheetId="6" r:id="rId1"/>
    <sheet name="Engagement Analysis 2" sheetId="8" r:id="rId2"/>
    <sheet name="Platform Analysis 1" sheetId="9" r:id="rId3"/>
    <sheet name="Platform Analysis 2" sheetId="12" r:id="rId4"/>
    <sheet name="Hashtag &amp; Content Strategy 1" sheetId="15" r:id="rId5"/>
    <sheet name="Hashtag &amp; Content Strategy 2" sheetId="16" r:id="rId6"/>
    <sheet name="Campaign Effectiveness 1" sheetId="17" r:id="rId7"/>
    <sheet name="Campaign Effectiveness 2" sheetId="18" r:id="rId8"/>
    <sheet name="Follower Retention &amp; Loyalty 1" sheetId="20" r:id="rId9"/>
    <sheet name="Follower Retention &amp; Loyalty 2" sheetId="23" r:id="rId10"/>
    <sheet name="Summary Dashboard" sheetId="24" r:id="rId11"/>
    <sheet name="Video Link" sheetId="25" r:id="rId12"/>
    <sheet name="Posts_1" sheetId="13" r:id="rId13"/>
    <sheet name="Posts" sheetId="4" r:id="rId14"/>
    <sheet name="Engagement Summary" sheetId="3" r:id="rId15"/>
    <sheet name="Campaign Metadata" sheetId="2" r:id="rId16"/>
  </sheets>
  <definedNames>
    <definedName name="ExternalData_2" localSheetId="14" hidden="1">'Engagement Summary'!$A$1:$G$201</definedName>
    <definedName name="ExternalData_4" localSheetId="12" hidden="1">Posts_1!$A$1:$M$301</definedName>
    <definedName name="NativeTimeline_Week_Start_Date">#N/A</definedName>
    <definedName name="Slicer_Content_Type">#N/A</definedName>
    <definedName name="Slicer_Platform">#N/A</definedName>
  </definedNames>
  <calcPr calcId="191029"/>
  <pivotCaches>
    <pivotCache cacheId="0" r:id="rId17"/>
    <pivotCache cacheId="1" r:id="rId18"/>
    <pivotCache cacheId="2" r:id="rId19"/>
    <pivotCache cacheId="3"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2" l="1"/>
  <c r="H3" i="2"/>
  <c r="H4" i="2"/>
  <c r="H5" i="2"/>
  <c r="A13" i="18"/>
  <c r="I2" i="2"/>
  <c r="I3" i="2"/>
  <c r="I4" i="2"/>
  <c r="I5" i="2"/>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M302" i="13"/>
  <c r="N2" i="13"/>
  <c r="N3" i="13"/>
  <c r="N4" i="13"/>
  <c r="N5" i="13"/>
  <c r="N6" i="13"/>
  <c r="N7" i="13"/>
  <c r="N8" i="13"/>
  <c r="N9" i="13"/>
  <c r="N10" i="13"/>
  <c r="N11" i="13"/>
  <c r="N12" i="13"/>
  <c r="N13" i="13"/>
  <c r="N14" i="13"/>
  <c r="N15" i="13"/>
  <c r="N16" i="13"/>
  <c r="N17" i="13"/>
  <c r="N18" i="13"/>
  <c r="N19" i="13"/>
  <c r="N20" i="13"/>
  <c r="N21" i="13"/>
  <c r="N22" i="13"/>
  <c r="N23" i="13"/>
  <c r="N24" i="13"/>
  <c r="N25" i="13"/>
  <c r="N26" i="13"/>
  <c r="N27" i="13"/>
  <c r="N28" i="13"/>
  <c r="N29" i="13"/>
  <c r="N30" i="13"/>
  <c r="N31" i="13"/>
  <c r="N32" i="13"/>
  <c r="N33" i="13"/>
  <c r="N34" i="13"/>
  <c r="N35" i="13"/>
  <c r="N36" i="13"/>
  <c r="N37" i="13"/>
  <c r="N38" i="13"/>
  <c r="N39" i="13"/>
  <c r="N40" i="13"/>
  <c r="N41" i="13"/>
  <c r="N42" i="13"/>
  <c r="N43" i="13"/>
  <c r="N44" i="13"/>
  <c r="N45" i="13"/>
  <c r="N46" i="13"/>
  <c r="N47" i="13"/>
  <c r="N48" i="13"/>
  <c r="N49" i="13"/>
  <c r="N50" i="13"/>
  <c r="N51" i="13"/>
  <c r="N52" i="13"/>
  <c r="N53" i="13"/>
  <c r="N54" i="13"/>
  <c r="N55" i="13"/>
  <c r="N56" i="13"/>
  <c r="N57" i="13"/>
  <c r="N58" i="13"/>
  <c r="N59" i="13"/>
  <c r="N60" i="13"/>
  <c r="N61" i="13"/>
  <c r="N62" i="13"/>
  <c r="N63" i="13"/>
  <c r="N64" i="13"/>
  <c r="N65" i="13"/>
  <c r="N66" i="13"/>
  <c r="N67" i="13"/>
  <c r="N68" i="13"/>
  <c r="N69" i="13"/>
  <c r="N70" i="13"/>
  <c r="N71" i="13"/>
  <c r="N72" i="13"/>
  <c r="N73" i="13"/>
  <c r="N74" i="13"/>
  <c r="N75" i="13"/>
  <c r="N76" i="13"/>
  <c r="N77" i="13"/>
  <c r="N78" i="13"/>
  <c r="N79" i="13"/>
  <c r="N80" i="13"/>
  <c r="N81" i="13"/>
  <c r="N82" i="13"/>
  <c r="N83" i="13"/>
  <c r="N84" i="13"/>
  <c r="N85" i="13"/>
  <c r="N86" i="13"/>
  <c r="N87" i="13"/>
  <c r="N88" i="13"/>
  <c r="N89" i="13"/>
  <c r="N90" i="13"/>
  <c r="N91" i="13"/>
  <c r="N92" i="13"/>
  <c r="N93" i="13"/>
  <c r="N94" i="13"/>
  <c r="N95" i="13"/>
  <c r="N96" i="13"/>
  <c r="N97" i="13"/>
  <c r="N98" i="13"/>
  <c r="N99" i="13"/>
  <c r="N100" i="13"/>
  <c r="N101" i="13"/>
  <c r="N102" i="13"/>
  <c r="N103" i="13"/>
  <c r="N104" i="13"/>
  <c r="N105" i="13"/>
  <c r="N106" i="13"/>
  <c r="N107" i="13"/>
  <c r="N108" i="13"/>
  <c r="N109" i="13"/>
  <c r="N110" i="13"/>
  <c r="N111" i="13"/>
  <c r="N112" i="13"/>
  <c r="N113" i="13"/>
  <c r="N114" i="13"/>
  <c r="N115" i="13"/>
  <c r="N116" i="13"/>
  <c r="N117" i="13"/>
  <c r="N118" i="13"/>
  <c r="N119" i="13"/>
  <c r="N120" i="13"/>
  <c r="N121" i="13"/>
  <c r="N122" i="13"/>
  <c r="N123" i="13"/>
  <c r="N124" i="13"/>
  <c r="N125" i="13"/>
  <c r="N126" i="13"/>
  <c r="N127" i="13"/>
  <c r="N128" i="13"/>
  <c r="N129" i="13"/>
  <c r="N130" i="13"/>
  <c r="N131" i="13"/>
  <c r="N132" i="13"/>
  <c r="N133" i="13"/>
  <c r="N134" i="13"/>
  <c r="N135" i="13"/>
  <c r="N136" i="13"/>
  <c r="N137" i="13"/>
  <c r="N138" i="13"/>
  <c r="N139" i="13"/>
  <c r="N140" i="13"/>
  <c r="N141" i="13"/>
  <c r="N142" i="13"/>
  <c r="N143" i="13"/>
  <c r="N144" i="13"/>
  <c r="N145" i="13"/>
  <c r="N146" i="13"/>
  <c r="N147" i="13"/>
  <c r="N148" i="13"/>
  <c r="N149" i="13"/>
  <c r="N150" i="13"/>
  <c r="N151" i="13"/>
  <c r="N152" i="13"/>
  <c r="N153" i="13"/>
  <c r="N154" i="13"/>
  <c r="N155" i="13"/>
  <c r="N156" i="13"/>
  <c r="N157" i="13"/>
  <c r="N158" i="13"/>
  <c r="N159" i="13"/>
  <c r="N160" i="13"/>
  <c r="N161" i="13"/>
  <c r="N162" i="13"/>
  <c r="N163" i="13"/>
  <c r="N164" i="13"/>
  <c r="N165" i="13"/>
  <c r="N166" i="13"/>
  <c r="N167" i="13"/>
  <c r="N168" i="13"/>
  <c r="N169" i="13"/>
  <c r="N170" i="13"/>
  <c r="N171" i="13"/>
  <c r="N172" i="13"/>
  <c r="N173" i="13"/>
  <c r="N174" i="13"/>
  <c r="N175" i="13"/>
  <c r="N176" i="13"/>
  <c r="N177" i="13"/>
  <c r="N178" i="13"/>
  <c r="N179" i="13"/>
  <c r="N180" i="13"/>
  <c r="N181" i="13"/>
  <c r="N182" i="13"/>
  <c r="N183" i="13"/>
  <c r="N184" i="13"/>
  <c r="N185" i="13"/>
  <c r="N186" i="13"/>
  <c r="N187" i="13"/>
  <c r="N188" i="13"/>
  <c r="N189" i="13"/>
  <c r="N190" i="13"/>
  <c r="N191" i="13"/>
  <c r="N192" i="13"/>
  <c r="N193" i="13"/>
  <c r="N194" i="13"/>
  <c r="N195" i="13"/>
  <c r="N196" i="13"/>
  <c r="N197" i="13"/>
  <c r="N198" i="13"/>
  <c r="N199" i="13"/>
  <c r="N200" i="13"/>
  <c r="N201" i="13"/>
  <c r="N202" i="13"/>
  <c r="N203" i="13"/>
  <c r="N204" i="13"/>
  <c r="N205" i="13"/>
  <c r="N206" i="13"/>
  <c r="N207" i="13"/>
  <c r="N208" i="13"/>
  <c r="N209" i="13"/>
  <c r="N210" i="13"/>
  <c r="N211" i="13"/>
  <c r="N212" i="13"/>
  <c r="N213" i="13"/>
  <c r="N214" i="13"/>
  <c r="N215" i="13"/>
  <c r="N216" i="13"/>
  <c r="N217" i="13"/>
  <c r="N218" i="13"/>
  <c r="N219" i="13"/>
  <c r="N220" i="13"/>
  <c r="N221" i="13"/>
  <c r="N222" i="13"/>
  <c r="N223" i="13"/>
  <c r="N224" i="13"/>
  <c r="N225" i="13"/>
  <c r="N226" i="13"/>
  <c r="N227" i="13"/>
  <c r="N228" i="13"/>
  <c r="N229" i="13"/>
  <c r="N230" i="13"/>
  <c r="N231" i="13"/>
  <c r="N232" i="13"/>
  <c r="N233" i="13"/>
  <c r="N234" i="13"/>
  <c r="N235" i="13"/>
  <c r="N236" i="13"/>
  <c r="N237" i="13"/>
  <c r="N238" i="13"/>
  <c r="N239" i="13"/>
  <c r="N240" i="13"/>
  <c r="N241" i="13"/>
  <c r="N242" i="13"/>
  <c r="N243" i="13"/>
  <c r="N244" i="13"/>
  <c r="N245" i="13"/>
  <c r="N246" i="13"/>
  <c r="N247" i="13"/>
  <c r="N248" i="13"/>
  <c r="N249" i="13"/>
  <c r="N250" i="13"/>
  <c r="N251" i="13"/>
  <c r="N252" i="13"/>
  <c r="N253" i="13"/>
  <c r="N254" i="13"/>
  <c r="N255" i="13"/>
  <c r="N256" i="13"/>
  <c r="N257" i="13"/>
  <c r="N258" i="13"/>
  <c r="N259" i="13"/>
  <c r="N260" i="13"/>
  <c r="N261" i="13"/>
  <c r="N262" i="13"/>
  <c r="N263" i="13"/>
  <c r="N264" i="13"/>
  <c r="N265" i="13"/>
  <c r="N266" i="13"/>
  <c r="N267" i="13"/>
  <c r="N268" i="13"/>
  <c r="N269" i="13"/>
  <c r="N270" i="13"/>
  <c r="N271" i="13"/>
  <c r="N272" i="13"/>
  <c r="N273" i="13"/>
  <c r="N274" i="13"/>
  <c r="N275" i="13"/>
  <c r="N276" i="13"/>
  <c r="N277" i="13"/>
  <c r="N278" i="13"/>
  <c r="N279" i="13"/>
  <c r="N280" i="13"/>
  <c r="N281" i="13"/>
  <c r="N282" i="13"/>
  <c r="N283" i="13"/>
  <c r="N284" i="13"/>
  <c r="N285" i="13"/>
  <c r="N286" i="13"/>
  <c r="N287" i="13"/>
  <c r="N288" i="13"/>
  <c r="N289" i="13"/>
  <c r="N290" i="13"/>
  <c r="N291" i="13"/>
  <c r="N292" i="13"/>
  <c r="N293" i="13"/>
  <c r="N294" i="13"/>
  <c r="N295" i="13"/>
  <c r="N296" i="13"/>
  <c r="N297" i="13"/>
  <c r="N298" i="13"/>
  <c r="N299" i="13"/>
  <c r="N300" i="13"/>
  <c r="N301" i="13"/>
  <c r="B67" i="20"/>
  <c r="C49" i="23"/>
  <c r="C50" i="23"/>
  <c r="C51" i="23"/>
  <c r="C48" i="23"/>
  <c r="C47" i="23"/>
  <c r="C46" i="23"/>
  <c r="C45" i="23"/>
  <c r="C44" i="23"/>
  <c r="C43" i="23"/>
  <c r="C42" i="23"/>
  <c r="C41" i="23"/>
  <c r="C40" i="23"/>
  <c r="C39" i="23"/>
  <c r="C38" i="23"/>
  <c r="C37" i="23"/>
  <c r="C36" i="23"/>
  <c r="C35" i="23"/>
  <c r="C34" i="23"/>
  <c r="C33" i="23"/>
  <c r="C32" i="23"/>
  <c r="C31" i="23"/>
  <c r="C30" i="23"/>
  <c r="C29" i="23"/>
  <c r="C28" i="23"/>
  <c r="C27" i="23"/>
  <c r="C26" i="23"/>
  <c r="C25" i="23"/>
  <c r="C24" i="23"/>
  <c r="C23" i="23"/>
  <c r="C22" i="23"/>
  <c r="C21" i="23"/>
  <c r="C20" i="23"/>
  <c r="C19" i="23"/>
  <c r="C18" i="23"/>
  <c r="C17" i="23"/>
  <c r="C16" i="23"/>
  <c r="C15" i="23"/>
  <c r="C14" i="23"/>
  <c r="C13" i="23"/>
  <c r="C12" i="23"/>
  <c r="C11" i="23"/>
  <c r="C10" i="23"/>
  <c r="C9" i="23"/>
  <c r="C8" i="23"/>
  <c r="C7" i="23"/>
  <c r="C6" i="23"/>
  <c r="C5" i="23"/>
  <c r="C4" i="23"/>
  <c r="C3" i="23"/>
  <c r="C2" i="23"/>
  <c r="M4" i="2"/>
  <c r="A66" i="23" l="1"/>
  <c r="K4" i="2"/>
  <c r="M5" i="2"/>
  <c r="M3" i="2"/>
  <c r="M2" i="2"/>
  <c r="K2" i="2"/>
  <c r="H202" i="3"/>
  <c r="K5" i="2"/>
  <c r="I202" i="3"/>
  <c r="K3" i="2"/>
  <c r="J2" i="2"/>
  <c r="J4" i="2"/>
  <c r="J3" i="2"/>
  <c r="J5" i="2"/>
  <c r="L5" i="2" l="1"/>
  <c r="L4" i="2"/>
  <c r="L2" i="2"/>
  <c r="L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4FDEDC-AD4B-4566-85F7-0BD83B6DD7FE}" keepAlive="1" name="Query - Campaign Metadata" description="Connection to the 'Campaign Metadata' query in the workbook." type="5" refreshedVersion="8" background="1" saveData="1">
    <dbPr connection="Provider=Microsoft.Mashup.OleDb.1;Data Source=$Workbook$;Location=&quot;Campaign Metadata&quot;;Extended Properties=&quot;&quot;" command="SELECT * FROM [Campaign Metadata]"/>
  </connection>
  <connection id="2" xr16:uid="{6545CD56-316D-4B66-ACB7-CC67488E72BC}" keepAlive="1" name="Query - Engagement Summary" description="Connection to the 'Engagement Summary' query in the workbook." type="5" refreshedVersion="8" background="1" saveData="1">
    <dbPr connection="Provider=Microsoft.Mashup.OleDb.1;Data Source=$Workbook$;Location=&quot;Engagement Summary&quot;;Extended Properties=&quot;&quot;" command="SELECT * FROM [Engagement Summary]"/>
  </connection>
  <connection id="3" xr16:uid="{E26142DD-50C0-49BC-80AD-3D7110EAB9CA}" keepAlive="1" name="Query - Posts" description="Connection to the 'Posts' query in the workbook." type="5" refreshedVersion="8" background="1" saveData="1">
    <dbPr connection="Provider=Microsoft.Mashup.OleDb.1;Data Source=$Workbook$;Location=Posts;Extended Properties=&quot;&quot;" command="SELECT * FROM [Posts]"/>
  </connection>
  <connection id="4" xr16:uid="{FD524398-3B2E-4291-B134-4626F4749055}" keepAlive="1" name="Query - Posts_1" description="Connection to the 'Posts_1' query in the workbook." type="5" refreshedVersion="8" background="1" saveData="1">
    <dbPr connection="Provider=Microsoft.Mashup.OleDb.1;Data Source=$Workbook$;Location=Posts_1;Extended Properties=&quot;&quot;" command="SELECT * FROM [Posts_1]"/>
  </connection>
</connections>
</file>

<file path=xl/sharedStrings.xml><?xml version="1.0" encoding="utf-8"?>
<sst xmlns="http://schemas.openxmlformats.org/spreadsheetml/2006/main" count="3697" uniqueCount="423">
  <si>
    <t>Campaign_Name</t>
  </si>
  <si>
    <t>Start_Date</t>
  </si>
  <si>
    <t>End_Date</t>
  </si>
  <si>
    <t>Objective</t>
  </si>
  <si>
    <t>Total_Budget</t>
  </si>
  <si>
    <t>Target_Platforms</t>
  </si>
  <si>
    <t>Primary_Hashtags</t>
  </si>
  <si>
    <t>CybertruckLaunch</t>
  </si>
  <si>
    <t>Product Awareness</t>
  </si>
  <si>
    <t>Instagram,Facebook</t>
  </si>
  <si>
    <t>#EVRevolution,#TeslaCoInnovation</t>
  </si>
  <si>
    <t>ModelYCampaign</t>
  </si>
  <si>
    <t>Customer Engagement</t>
  </si>
  <si>
    <t>Instagram,YouTube</t>
  </si>
  <si>
    <t>#AnytimeIsTeslaTime,</t>
  </si>
  <si>
    <t>FSDUpdate</t>
  </si>
  <si>
    <t>Vehicle Launch</t>
  </si>
  <si>
    <t>Facebook,Twitter</t>
  </si>
  <si>
    <t>#SmoothLikeNitroTesla</t>
  </si>
  <si>
    <t>SustainabilityDrive</t>
  </si>
  <si>
    <t>Community Growth</t>
  </si>
  <si>
    <t>Instagram,Twitter</t>
  </si>
  <si>
    <t>#BetterWithTesla,#FutureOfDriving</t>
  </si>
  <si>
    <t>Week_Start_Date</t>
  </si>
  <si>
    <t>Platform</t>
  </si>
  <si>
    <t>New_Followers</t>
  </si>
  <si>
    <t>Unfollows</t>
  </si>
  <si>
    <t>Total_Followers</t>
  </si>
  <si>
    <t>Engagement_Rate</t>
  </si>
  <si>
    <t>Ad_Spend</t>
  </si>
  <si>
    <t>Instagram</t>
  </si>
  <si>
    <t>Facebook</t>
  </si>
  <si>
    <t>Twitter</t>
  </si>
  <si>
    <t>YouTube</t>
  </si>
  <si>
    <t>Post ID</t>
  </si>
  <si>
    <t>Date</t>
  </si>
  <si>
    <t>Content Type</t>
  </si>
  <si>
    <t>Likes</t>
  </si>
  <si>
    <t>Shares</t>
  </si>
  <si>
    <t>Comments</t>
  </si>
  <si>
    <t>Impressions</t>
  </si>
  <si>
    <t>Reach</t>
  </si>
  <si>
    <t>Clicks</t>
  </si>
  <si>
    <t>Hashtags Used</t>
  </si>
  <si>
    <t>P004</t>
  </si>
  <si>
    <t>Story</t>
  </si>
  <si>
    <t>#EVRevolution</t>
  </si>
  <si>
    <t>P005</t>
  </si>
  <si>
    <t>Reel</t>
  </si>
  <si>
    <t>P008</t>
  </si>
  <si>
    <t>Image</t>
  </si>
  <si>
    <t>P013</t>
  </si>
  <si>
    <t>Carousel</t>
  </si>
  <si>
    <t>P017</t>
  </si>
  <si>
    <t>Text</t>
  </si>
  <si>
    <t>P025</t>
  </si>
  <si>
    <t>Other</t>
  </si>
  <si>
    <t>P030</t>
  </si>
  <si>
    <t>Video</t>
  </si>
  <si>
    <t>P032</t>
  </si>
  <si>
    <t>P036</t>
  </si>
  <si>
    <t>P037</t>
  </si>
  <si>
    <t>P040</t>
  </si>
  <si>
    <t>P042</t>
  </si>
  <si>
    <t>P053</t>
  </si>
  <si>
    <t>P055</t>
  </si>
  <si>
    <t>P059</t>
  </si>
  <si>
    <t>P060</t>
  </si>
  <si>
    <t>P065</t>
  </si>
  <si>
    <t>P066</t>
  </si>
  <si>
    <t>P067</t>
  </si>
  <si>
    <t>P068</t>
  </si>
  <si>
    <t>P072</t>
  </si>
  <si>
    <t>P079</t>
  </si>
  <si>
    <t>P083</t>
  </si>
  <si>
    <t>P086</t>
  </si>
  <si>
    <t>P089</t>
  </si>
  <si>
    <t>P091</t>
  </si>
  <si>
    <t>P093</t>
  </si>
  <si>
    <t>P100</t>
  </si>
  <si>
    <t>P102</t>
  </si>
  <si>
    <t>P103</t>
  </si>
  <si>
    <t>P110</t>
  </si>
  <si>
    <t>P113</t>
  </si>
  <si>
    <t>P117</t>
  </si>
  <si>
    <t>P120</t>
  </si>
  <si>
    <t>P122</t>
  </si>
  <si>
    <t>P123</t>
  </si>
  <si>
    <t>P124</t>
  </si>
  <si>
    <t>P130</t>
  </si>
  <si>
    <t>P136</t>
  </si>
  <si>
    <t>P139</t>
  </si>
  <si>
    <t>P140</t>
  </si>
  <si>
    <t>P144</t>
  </si>
  <si>
    <t>P146</t>
  </si>
  <si>
    <t>P148</t>
  </si>
  <si>
    <t>P149</t>
  </si>
  <si>
    <t>P151</t>
  </si>
  <si>
    <t>P152</t>
  </si>
  <si>
    <t>P168</t>
  </si>
  <si>
    <t>P169</t>
  </si>
  <si>
    <t>P172</t>
  </si>
  <si>
    <t>P174</t>
  </si>
  <si>
    <t>P181</t>
  </si>
  <si>
    <t>P184</t>
  </si>
  <si>
    <t>P185</t>
  </si>
  <si>
    <t>P186</t>
  </si>
  <si>
    <t>P187</t>
  </si>
  <si>
    <t>P192</t>
  </si>
  <si>
    <t>P193</t>
  </si>
  <si>
    <t>P194</t>
  </si>
  <si>
    <t>P196</t>
  </si>
  <si>
    <t>P197</t>
  </si>
  <si>
    <t>P201</t>
  </si>
  <si>
    <t>P202</t>
  </si>
  <si>
    <t>P206</t>
  </si>
  <si>
    <t>P213</t>
  </si>
  <si>
    <t>P215</t>
  </si>
  <si>
    <t>P216</t>
  </si>
  <si>
    <t>P220</t>
  </si>
  <si>
    <t>P225</t>
  </si>
  <si>
    <t>P228</t>
  </si>
  <si>
    <t>P230</t>
  </si>
  <si>
    <t>P232</t>
  </si>
  <si>
    <t>P236</t>
  </si>
  <si>
    <t>P240</t>
  </si>
  <si>
    <t>P242</t>
  </si>
  <si>
    <t>P245</t>
  </si>
  <si>
    <t>P247</t>
  </si>
  <si>
    <t>P248</t>
  </si>
  <si>
    <t>P249</t>
  </si>
  <si>
    <t>P253</t>
  </si>
  <si>
    <t>P256</t>
  </si>
  <si>
    <t>P257</t>
  </si>
  <si>
    <t>P258</t>
  </si>
  <si>
    <t>P260</t>
  </si>
  <si>
    <t>P261</t>
  </si>
  <si>
    <t>P265</t>
  </si>
  <si>
    <t>P268</t>
  </si>
  <si>
    <t>P271</t>
  </si>
  <si>
    <t>P273</t>
  </si>
  <si>
    <t>P275</t>
  </si>
  <si>
    <t>P278</t>
  </si>
  <si>
    <t>P280</t>
  </si>
  <si>
    <t>P281</t>
  </si>
  <si>
    <t>P285</t>
  </si>
  <si>
    <t>P287</t>
  </si>
  <si>
    <t>P290</t>
  </si>
  <si>
    <t>P291</t>
  </si>
  <si>
    <t>P293</t>
  </si>
  <si>
    <t>P294</t>
  </si>
  <si>
    <t>P297</t>
  </si>
  <si>
    <t>P300</t>
  </si>
  <si>
    <t>P001</t>
  </si>
  <si>
    <t>#FutureOfDriving</t>
  </si>
  <si>
    <t>#AnytimeIsTeslaTime</t>
  </si>
  <si>
    <t>P002</t>
  </si>
  <si>
    <t>#TeslaCoInnovation</t>
  </si>
  <si>
    <t>#BetterWithTesla</t>
  </si>
  <si>
    <t>P003</t>
  </si>
  <si>
    <t>P006</t>
  </si>
  <si>
    <t>P007</t>
  </si>
  <si>
    <t>P009</t>
  </si>
  <si>
    <t>P010</t>
  </si>
  <si>
    <t>P011</t>
  </si>
  <si>
    <t>P012</t>
  </si>
  <si>
    <t>P014</t>
  </si>
  <si>
    <t>P015</t>
  </si>
  <si>
    <t>P016</t>
  </si>
  <si>
    <t>P018</t>
  </si>
  <si>
    <t>P019</t>
  </si>
  <si>
    <t>P020</t>
  </si>
  <si>
    <t>P021</t>
  </si>
  <si>
    <t>P022</t>
  </si>
  <si>
    <t>P023</t>
  </si>
  <si>
    <t>P024</t>
  </si>
  <si>
    <t>P026</t>
  </si>
  <si>
    <t>P027</t>
  </si>
  <si>
    <t>P028</t>
  </si>
  <si>
    <t>P029</t>
  </si>
  <si>
    <t>P031</t>
  </si>
  <si>
    <t>P033</t>
  </si>
  <si>
    <t>P034</t>
  </si>
  <si>
    <t>P035</t>
  </si>
  <si>
    <t>P038</t>
  </si>
  <si>
    <t>P039</t>
  </si>
  <si>
    <t>P041</t>
  </si>
  <si>
    <t>P043</t>
  </si>
  <si>
    <t>P044</t>
  </si>
  <si>
    <t>P045</t>
  </si>
  <si>
    <t>P046</t>
  </si>
  <si>
    <t>P047</t>
  </si>
  <si>
    <t>P048</t>
  </si>
  <si>
    <t>P049</t>
  </si>
  <si>
    <t>P050</t>
  </si>
  <si>
    <t>P051</t>
  </si>
  <si>
    <t>P052</t>
  </si>
  <si>
    <t>P054</t>
  </si>
  <si>
    <t>P056</t>
  </si>
  <si>
    <t>P057</t>
  </si>
  <si>
    <t>P058</t>
  </si>
  <si>
    <t>P061</t>
  </si>
  <si>
    <t>P062</t>
  </si>
  <si>
    <t>P063</t>
  </si>
  <si>
    <t>P064</t>
  </si>
  <si>
    <t>P069</t>
  </si>
  <si>
    <t>P070</t>
  </si>
  <si>
    <t>P071</t>
  </si>
  <si>
    <t>P073</t>
  </si>
  <si>
    <t>P074</t>
  </si>
  <si>
    <t>P075</t>
  </si>
  <si>
    <t>P076</t>
  </si>
  <si>
    <t>P077</t>
  </si>
  <si>
    <t>P078</t>
  </si>
  <si>
    <t>P080</t>
  </si>
  <si>
    <t>P081</t>
  </si>
  <si>
    <t>P082</t>
  </si>
  <si>
    <t>P084</t>
  </si>
  <si>
    <t>P085</t>
  </si>
  <si>
    <t>P087</t>
  </si>
  <si>
    <t>P088</t>
  </si>
  <si>
    <t>P090</t>
  </si>
  <si>
    <t>P092</t>
  </si>
  <si>
    <t>P094</t>
  </si>
  <si>
    <t>P095</t>
  </si>
  <si>
    <t>P096</t>
  </si>
  <si>
    <t>P097</t>
  </si>
  <si>
    <t>P098</t>
  </si>
  <si>
    <t>P099</t>
  </si>
  <si>
    <t>P101</t>
  </si>
  <si>
    <t>P104</t>
  </si>
  <si>
    <t>P105</t>
  </si>
  <si>
    <t>P106</t>
  </si>
  <si>
    <t>P107</t>
  </si>
  <si>
    <t>P108</t>
  </si>
  <si>
    <t>P109</t>
  </si>
  <si>
    <t>P111</t>
  </si>
  <si>
    <t>P112</t>
  </si>
  <si>
    <t>P114</t>
  </si>
  <si>
    <t>P115</t>
  </si>
  <si>
    <t>P116</t>
  </si>
  <si>
    <t>P118</t>
  </si>
  <si>
    <t>P119</t>
  </si>
  <si>
    <t>P121</t>
  </si>
  <si>
    <t>P125</t>
  </si>
  <si>
    <t>P126</t>
  </si>
  <si>
    <t>P127</t>
  </si>
  <si>
    <t>P128</t>
  </si>
  <si>
    <t>P129</t>
  </si>
  <si>
    <t>P131</t>
  </si>
  <si>
    <t>P132</t>
  </si>
  <si>
    <t>P133</t>
  </si>
  <si>
    <t>P134</t>
  </si>
  <si>
    <t>P135</t>
  </si>
  <si>
    <t>P137</t>
  </si>
  <si>
    <t>P138</t>
  </si>
  <si>
    <t>P141</t>
  </si>
  <si>
    <t>P142</t>
  </si>
  <si>
    <t>P143</t>
  </si>
  <si>
    <t>P145</t>
  </si>
  <si>
    <t>P147</t>
  </si>
  <si>
    <t>P150</t>
  </si>
  <si>
    <t>P153</t>
  </si>
  <si>
    <t>P154</t>
  </si>
  <si>
    <t>P155</t>
  </si>
  <si>
    <t>P156</t>
  </si>
  <si>
    <t>P157</t>
  </si>
  <si>
    <t>P158</t>
  </si>
  <si>
    <t>P159</t>
  </si>
  <si>
    <t>P160</t>
  </si>
  <si>
    <t>P161</t>
  </si>
  <si>
    <t>P162</t>
  </si>
  <si>
    <t>P163</t>
  </si>
  <si>
    <t>P164</t>
  </si>
  <si>
    <t>P165</t>
  </si>
  <si>
    <t>P166</t>
  </si>
  <si>
    <t>P167</t>
  </si>
  <si>
    <t>P170</t>
  </si>
  <si>
    <t>P171</t>
  </si>
  <si>
    <t>P173</t>
  </si>
  <si>
    <t>P175</t>
  </si>
  <si>
    <t>P176</t>
  </si>
  <si>
    <t>P177</t>
  </si>
  <si>
    <t>P178</t>
  </si>
  <si>
    <t>P179</t>
  </si>
  <si>
    <t>P180</t>
  </si>
  <si>
    <t>P182</t>
  </si>
  <si>
    <t>P183</t>
  </si>
  <si>
    <t>P188</t>
  </si>
  <si>
    <t>P189</t>
  </si>
  <si>
    <t>P190</t>
  </si>
  <si>
    <t>P191</t>
  </si>
  <si>
    <t>P195</t>
  </si>
  <si>
    <t>P198</t>
  </si>
  <si>
    <t>P199</t>
  </si>
  <si>
    <t>P200</t>
  </si>
  <si>
    <t>P203</t>
  </si>
  <si>
    <t>P204</t>
  </si>
  <si>
    <t>P205</t>
  </si>
  <si>
    <t>P207</t>
  </si>
  <si>
    <t>P208</t>
  </si>
  <si>
    <t>P209</t>
  </si>
  <si>
    <t>P210</t>
  </si>
  <si>
    <t>P211</t>
  </si>
  <si>
    <t>P212</t>
  </si>
  <si>
    <t>P214</t>
  </si>
  <si>
    <t>P217</t>
  </si>
  <si>
    <t>P218</t>
  </si>
  <si>
    <t>P219</t>
  </si>
  <si>
    <t>P221</t>
  </si>
  <si>
    <t>P222</t>
  </si>
  <si>
    <t>P223</t>
  </si>
  <si>
    <t>P224</t>
  </si>
  <si>
    <t>P226</t>
  </si>
  <si>
    <t>P227</t>
  </si>
  <si>
    <t>P229</t>
  </si>
  <si>
    <t>P231</t>
  </si>
  <si>
    <t>P233</t>
  </si>
  <si>
    <t>P234</t>
  </si>
  <si>
    <t>P235</t>
  </si>
  <si>
    <t>P237</t>
  </si>
  <si>
    <t>P238</t>
  </si>
  <si>
    <t>P239</t>
  </si>
  <si>
    <t>P241</t>
  </si>
  <si>
    <t>P243</t>
  </si>
  <si>
    <t>P244</t>
  </si>
  <si>
    <t>P246</t>
  </si>
  <si>
    <t>P250</t>
  </si>
  <si>
    <t>P251</t>
  </si>
  <si>
    <t>P252</t>
  </si>
  <si>
    <t>P254</t>
  </si>
  <si>
    <t>P255</t>
  </si>
  <si>
    <t>P259</t>
  </si>
  <si>
    <t>P262</t>
  </si>
  <si>
    <t>P263</t>
  </si>
  <si>
    <t>P264</t>
  </si>
  <si>
    <t>P266</t>
  </si>
  <si>
    <t>P267</t>
  </si>
  <si>
    <t>P269</t>
  </si>
  <si>
    <t>P270</t>
  </si>
  <si>
    <t>P272</t>
  </si>
  <si>
    <t>P274</t>
  </si>
  <si>
    <t>P276</t>
  </si>
  <si>
    <t>P277</t>
  </si>
  <si>
    <t>P279</t>
  </si>
  <si>
    <t>P282</t>
  </si>
  <si>
    <t>P283</t>
  </si>
  <si>
    <t>P284</t>
  </si>
  <si>
    <t>P286</t>
  </si>
  <si>
    <t>P288</t>
  </si>
  <si>
    <t>P289</t>
  </si>
  <si>
    <t>P292</t>
  </si>
  <si>
    <t>P295</t>
  </si>
  <si>
    <t>P296</t>
  </si>
  <si>
    <t>P298</t>
  </si>
  <si>
    <t>P299</t>
  </si>
  <si>
    <t>Row Labels</t>
  </si>
  <si>
    <t>Engagement Rate</t>
  </si>
  <si>
    <t>Average of Engagement Rate</t>
  </si>
  <si>
    <t>Avg Engagement</t>
  </si>
  <si>
    <t>Max Engagement</t>
  </si>
  <si>
    <t>Follower Growth</t>
  </si>
  <si>
    <t>Engagement</t>
  </si>
  <si>
    <t>Ad Spend</t>
  </si>
  <si>
    <t>#FutureOfDriving,#AnytimeIsTeslaTime</t>
  </si>
  <si>
    <t>#TeslaCoInnovation,#BetterWithTesla</t>
  </si>
  <si>
    <t>#TeslaCoInnovation,#AnytimeIsTeslaTime</t>
  </si>
  <si>
    <t>#EVRevolution,#BetterWithTesla</t>
  </si>
  <si>
    <t>#EVRevolution,#TeslaCoInnovation,#AnytimeIsTeslaTime</t>
  </si>
  <si>
    <t>#FutureOfDriving,#TeslaCoInnovation,#AnytimeIsTeslaTime</t>
  </si>
  <si>
    <t>#EVRevolution,#SmoothLikeNitroTesla</t>
  </si>
  <si>
    <t>#EVRevolution,#AnytimeIsTeslaTime</t>
  </si>
  <si>
    <t>#TeslaCoInnovation,#SmoothLikeNitroTesla</t>
  </si>
  <si>
    <t>#FutureOfDriving,#SmoothLikeNitroTesla</t>
  </si>
  <si>
    <t>#FutureOfDriving,#AnytimeIsTeslaTime,#EVRevolution</t>
  </si>
  <si>
    <t>#FutureOfDriving,#EVRevolution,#BetterWithTesla</t>
  </si>
  <si>
    <t>#EVRevolution,#EVRevolution,#BetterWithTesla</t>
  </si>
  <si>
    <t>#TeslaCoInnovation,#EVRevolution,#BetterWithTesla</t>
  </si>
  <si>
    <t>Count of Hashtags Used</t>
  </si>
  <si>
    <t>Growth Rate</t>
  </si>
  <si>
    <t>Avg Growth Rate</t>
  </si>
  <si>
    <t>Avg Followers Gained</t>
  </si>
  <si>
    <t>On Weekly Basis</t>
  </si>
  <si>
    <t>Avg Impressions</t>
  </si>
  <si>
    <t>Avg Likes</t>
  </si>
  <si>
    <t>Avg Clicks</t>
  </si>
  <si>
    <t>Engagement Rate (Before - 30 Days)</t>
  </si>
  <si>
    <t>Engagement Uplift</t>
  </si>
  <si>
    <t>Engagement Rate During</t>
  </si>
  <si>
    <t>Engagement Rate Before</t>
  </si>
  <si>
    <t>Engagements</t>
  </si>
  <si>
    <t>Cost Per Engagement (CPE)</t>
  </si>
  <si>
    <t>Cost Per Engagement - CPE</t>
  </si>
  <si>
    <t>Total Follower Growth</t>
  </si>
  <si>
    <t>Follower-Growth</t>
  </si>
  <si>
    <t>Total Followers Gained</t>
  </si>
  <si>
    <t>Very Weak Positive Correlation</t>
  </si>
  <si>
    <t>Follower Growth (Moving Average)</t>
  </si>
  <si>
    <t>Week Dates</t>
  </si>
  <si>
    <t>WeekNum:</t>
  </si>
  <si>
    <t>Engagement-Uplift</t>
  </si>
  <si>
    <t>Avg Engagement Rate</t>
  </si>
  <si>
    <t>Total Likes</t>
  </si>
  <si>
    <t>Total Shares</t>
  </si>
  <si>
    <t>Total Comments</t>
  </si>
  <si>
    <r>
      <rPr>
        <b/>
        <sz val="11"/>
        <color rgb="FFFF0000"/>
        <rFont val="Candara"/>
        <family val="2"/>
      </rPr>
      <t>Recommendations</t>
    </r>
    <r>
      <rPr>
        <sz val="11"/>
        <color rgb="FFFF0000"/>
        <rFont val="Candara"/>
        <family val="2"/>
      </rPr>
      <t xml:space="preserve"> : For </t>
    </r>
    <r>
      <rPr>
        <b/>
        <sz val="11"/>
        <color rgb="FFFF0000"/>
        <rFont val="Candara"/>
        <family val="2"/>
      </rPr>
      <t>Instagram</t>
    </r>
    <r>
      <rPr>
        <sz val="11"/>
        <color rgb="FFFF0000"/>
        <rFont val="Candara"/>
        <family val="2"/>
      </rPr>
      <t xml:space="preserve"> we should </t>
    </r>
    <r>
      <rPr>
        <b/>
        <sz val="11"/>
        <color rgb="FFFF0000"/>
        <rFont val="Candara"/>
        <family val="2"/>
      </rPr>
      <t>Prioritize Story, Reel &amp; Video</t>
    </r>
    <r>
      <rPr>
        <sz val="11"/>
        <color rgb="FFFF0000"/>
        <rFont val="Candara"/>
        <family val="2"/>
      </rPr>
      <t xml:space="preserve"> type of Content, For </t>
    </r>
    <r>
      <rPr>
        <b/>
        <sz val="11"/>
        <color rgb="FFFF0000"/>
        <rFont val="Candara"/>
        <family val="2"/>
      </rPr>
      <t>Facebook</t>
    </r>
    <r>
      <rPr>
        <sz val="11"/>
        <color rgb="FFFF0000"/>
        <rFont val="Candara"/>
        <family val="2"/>
      </rPr>
      <t xml:space="preserve"> it is </t>
    </r>
    <r>
      <rPr>
        <b/>
        <sz val="11"/>
        <color rgb="FFFF0000"/>
        <rFont val="Candara"/>
        <family val="2"/>
      </rPr>
      <t>Story &amp; Image</t>
    </r>
    <r>
      <rPr>
        <sz val="11"/>
        <color rgb="FFFF0000"/>
        <rFont val="Candara"/>
        <family val="2"/>
      </rPr>
      <t xml:space="preserve">, For </t>
    </r>
    <r>
      <rPr>
        <b/>
        <sz val="11"/>
        <color rgb="FFFF0000"/>
        <rFont val="Candara"/>
        <family val="2"/>
      </rPr>
      <t>Twitter</t>
    </r>
    <r>
      <rPr>
        <sz val="11"/>
        <color rgb="FFFF0000"/>
        <rFont val="Candara"/>
        <family val="2"/>
      </rPr>
      <t xml:space="preserve"> it is </t>
    </r>
    <r>
      <rPr>
        <b/>
        <sz val="11"/>
        <color rgb="FFFF0000"/>
        <rFont val="Candara"/>
        <family val="2"/>
      </rPr>
      <t>Story &amp; Carousel</t>
    </r>
    <r>
      <rPr>
        <sz val="11"/>
        <color rgb="FFFF0000"/>
        <rFont val="Candara"/>
        <family val="2"/>
      </rPr>
      <t xml:space="preserve"> Lastly, For</t>
    </r>
    <r>
      <rPr>
        <b/>
        <sz val="11"/>
        <color rgb="FFFF0000"/>
        <rFont val="Candara"/>
        <family val="2"/>
      </rPr>
      <t xml:space="preserve"> Youtube</t>
    </r>
    <r>
      <rPr>
        <sz val="11"/>
        <color rgb="FFFF0000"/>
        <rFont val="Candara"/>
        <family val="2"/>
      </rPr>
      <t xml:space="preserve"> It is </t>
    </r>
    <r>
      <rPr>
        <b/>
        <sz val="11"/>
        <color rgb="FFFF0000"/>
        <rFont val="Candara"/>
        <family val="2"/>
      </rPr>
      <t>Carousel &amp; Image</t>
    </r>
    <r>
      <rPr>
        <sz val="11"/>
        <color rgb="FFFF0000"/>
        <rFont val="Candara"/>
        <family val="2"/>
      </rPr>
      <t xml:space="preserve"> type of Content that performs best.  </t>
    </r>
  </si>
  <si>
    <t>Total Clicks</t>
  </si>
  <si>
    <t>Total Impressions</t>
  </si>
  <si>
    <t>Post Count</t>
  </si>
  <si>
    <r>
      <t xml:space="preserve">When </t>
    </r>
    <r>
      <rPr>
        <b/>
        <sz val="11"/>
        <color rgb="FFFF0000"/>
        <rFont val="Candara"/>
        <family val="2"/>
      </rPr>
      <t xml:space="preserve">CPE </t>
    </r>
    <r>
      <rPr>
        <sz val="11"/>
        <color rgb="FFFF0000"/>
        <rFont val="Candara"/>
        <family val="2"/>
      </rPr>
      <t>is</t>
    </r>
    <r>
      <rPr>
        <b/>
        <sz val="11"/>
        <color rgb="FFFF0000"/>
        <rFont val="Candara"/>
        <family val="2"/>
      </rPr>
      <t xml:space="preserve"> low</t>
    </r>
    <r>
      <rPr>
        <sz val="11"/>
        <color rgb="FFFF0000"/>
        <rFont val="Candara"/>
        <family val="2"/>
      </rPr>
      <t xml:space="preserve"> </t>
    </r>
    <r>
      <rPr>
        <b/>
        <sz val="11"/>
        <color rgb="FFFF0000"/>
        <rFont val="Candara"/>
        <family val="2"/>
      </rPr>
      <t xml:space="preserve">ROI </t>
    </r>
    <r>
      <rPr>
        <sz val="11"/>
        <color rgb="FFFF0000"/>
        <rFont val="Candara"/>
        <family val="2"/>
      </rPr>
      <t>is</t>
    </r>
    <r>
      <rPr>
        <b/>
        <sz val="11"/>
        <color rgb="FFFF0000"/>
        <rFont val="Candara"/>
        <family val="2"/>
      </rPr>
      <t xml:space="preserve"> High</t>
    </r>
    <r>
      <rPr>
        <sz val="11"/>
        <color rgb="FFFF0000"/>
        <rFont val="Candara"/>
        <family val="2"/>
      </rPr>
      <t xml:space="preserve">, </t>
    </r>
    <r>
      <rPr>
        <b/>
        <sz val="11"/>
        <color rgb="FFFF0000"/>
        <rFont val="Candara"/>
        <family val="2"/>
      </rPr>
      <t>CybertruckLaunch</t>
    </r>
    <r>
      <rPr>
        <sz val="11"/>
        <color rgb="FFFF0000"/>
        <rFont val="Candara"/>
        <family val="2"/>
      </rPr>
      <t xml:space="preserve"> Campaign has the </t>
    </r>
    <r>
      <rPr>
        <b/>
        <sz val="11"/>
        <color rgb="FFFF0000"/>
        <rFont val="Candara"/>
        <family val="2"/>
      </rPr>
      <t>Highest ROI</t>
    </r>
  </si>
  <si>
    <r>
      <rPr>
        <b/>
        <sz val="11"/>
        <color rgb="FFFF0000"/>
        <rFont val="Candara"/>
        <family val="2"/>
      </rPr>
      <t>SustainabilityDrive</t>
    </r>
    <r>
      <rPr>
        <sz val="11"/>
        <color rgb="FFFF0000"/>
        <rFont val="Candara"/>
        <family val="2"/>
      </rPr>
      <t xml:space="preserve"> Campaign has the </t>
    </r>
    <r>
      <rPr>
        <b/>
        <sz val="11"/>
        <color rgb="FFFF0000"/>
        <rFont val="Candara"/>
        <family val="2"/>
      </rPr>
      <t>Strongest Follower Growth</t>
    </r>
  </si>
  <si>
    <t>Total Engagements</t>
  </si>
  <si>
    <r>
      <rPr>
        <b/>
        <sz val="11"/>
        <color rgb="FFFF0000"/>
        <rFont val="Candara"/>
        <family val="2"/>
      </rPr>
      <t>Week 53</t>
    </r>
    <r>
      <rPr>
        <sz val="11"/>
        <color rgb="FFFF0000"/>
        <rFont val="Candara"/>
        <family val="2"/>
      </rPr>
      <t xml:space="preserve"> of </t>
    </r>
    <r>
      <rPr>
        <b/>
        <sz val="11"/>
        <color rgb="FFFF0000"/>
        <rFont val="Candara"/>
        <family val="2"/>
      </rPr>
      <t>2024</t>
    </r>
    <r>
      <rPr>
        <sz val="11"/>
        <color rgb="FFFF0000"/>
        <rFont val="Candara"/>
        <family val="2"/>
      </rPr>
      <t xml:space="preserve"> is the </t>
    </r>
    <r>
      <rPr>
        <b/>
        <sz val="11"/>
        <color rgb="FFFF0000"/>
        <rFont val="Candara"/>
        <family val="2"/>
      </rPr>
      <t>Peek Week</t>
    </r>
    <r>
      <rPr>
        <sz val="11"/>
        <color rgb="FFFF0000"/>
        <rFont val="Candara"/>
        <family val="2"/>
      </rPr>
      <t xml:space="preserve"> for </t>
    </r>
    <r>
      <rPr>
        <b/>
        <sz val="11"/>
        <color rgb="FFFF0000"/>
        <rFont val="Candara"/>
        <family val="2"/>
      </rPr>
      <t>Follower Growth</t>
    </r>
    <r>
      <rPr>
        <sz val="11"/>
        <color rgb="FFFF0000"/>
        <rFont val="Candara"/>
        <family val="2"/>
      </rPr>
      <t xml:space="preserve"> starting from 30th Dec 2024</t>
    </r>
  </si>
  <si>
    <r>
      <t>Correlation between Ad-Spend &amp; Follower Growth</t>
    </r>
    <r>
      <rPr>
        <b/>
        <sz val="11"/>
        <color rgb="FFFF0000"/>
        <rFont val="Candara"/>
        <family val="2"/>
      </rPr>
      <t>:</t>
    </r>
  </si>
  <si>
    <t>Engagement Rate (During)</t>
  </si>
  <si>
    <t>First 3 campaigns Correlation is strong positive :</t>
  </si>
  <si>
    <t>But The last Campaign the budget was very high and low engagements.</t>
  </si>
  <si>
    <r>
      <rPr>
        <b/>
        <sz val="11"/>
        <color rgb="FFFF0000"/>
        <rFont val="Candara"/>
        <family val="2"/>
      </rPr>
      <t>Recommendations</t>
    </r>
    <r>
      <rPr>
        <sz val="11"/>
        <color rgb="FFFF0000"/>
        <rFont val="Candara"/>
        <family val="2"/>
      </rPr>
      <t xml:space="preserve"> : The Tesla marketing team should </t>
    </r>
    <r>
      <rPr>
        <b/>
        <sz val="11"/>
        <color rgb="FFFF0000"/>
        <rFont val="Candara"/>
        <family val="2"/>
      </rPr>
      <t>focus</t>
    </r>
    <r>
      <rPr>
        <sz val="11"/>
        <color rgb="FFFF0000"/>
        <rFont val="Candara"/>
        <family val="2"/>
      </rPr>
      <t xml:space="preserve"> on </t>
    </r>
    <r>
      <rPr>
        <b/>
        <sz val="11"/>
        <color rgb="FFFF0000"/>
        <rFont val="Candara"/>
        <family val="2"/>
      </rPr>
      <t>Instagram</t>
    </r>
    <r>
      <rPr>
        <sz val="11"/>
        <color rgb="FFFF0000"/>
        <rFont val="Candara"/>
        <family val="2"/>
      </rPr>
      <t xml:space="preserve"> and </t>
    </r>
    <r>
      <rPr>
        <b/>
        <sz val="11"/>
        <color rgb="FFFF0000"/>
        <rFont val="Candara"/>
        <family val="2"/>
      </rPr>
      <t>Twitter</t>
    </r>
    <r>
      <rPr>
        <sz val="11"/>
        <color rgb="FFFF0000"/>
        <rFont val="Candara"/>
        <family val="2"/>
      </rPr>
      <t xml:space="preserve"> more because they are generating </t>
    </r>
    <r>
      <rPr>
        <b/>
        <sz val="11"/>
        <color rgb="FFFF0000"/>
        <rFont val="Candara"/>
        <family val="2"/>
      </rPr>
      <t>high engagement</t>
    </r>
    <r>
      <rPr>
        <sz val="11"/>
        <color rgb="FFFF0000"/>
        <rFont val="Candara"/>
        <family val="2"/>
      </rPr>
      <t xml:space="preserve"> than other two, even at </t>
    </r>
    <r>
      <rPr>
        <b/>
        <sz val="11"/>
        <color rgb="FFFF0000"/>
        <rFont val="Candara"/>
        <family val="2"/>
      </rPr>
      <t>lesser ad spend.</t>
    </r>
  </si>
  <si>
    <t>Avg Engagements</t>
  </si>
  <si>
    <t>Total Spend</t>
  </si>
  <si>
    <t>In this video, I present my recent work on a social media analytics project aimed at enhancing Tesla's strategic branding through data-driven insights. I analyzed engagement across platforms, revealing that Instagram leads in overall engagement, while Twitter shows the highest growth rate. I also examined hashtag performance, with 'EV revolution' achieving the highest engagement rate. Based on my findings, I recommend that the marketing team prioritize story-type content on Instagram and Twitter for better engagement. I encourage the team to leverage these insights for more informed decision-making in future campaigns.</t>
  </si>
  <si>
    <t xml:space="preserve">Link: </t>
  </si>
  <si>
    <t>https://drive.google.com/drive/folders/1Im3FJ7uTH5Kz7kdi5_9ckm4TVJjXema3?usp=sharing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</si>
</sst>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sz val="11"/>
      <color rgb="FFFF0000"/>
      <name val="Candara"/>
      <family val="2"/>
    </font>
    <font>
      <b/>
      <sz val="11"/>
      <color rgb="FFFF0000"/>
      <name val="Candara"/>
      <family val="2"/>
    </font>
    <font>
      <sz val="11"/>
      <color theme="4" tint="-0.249977111117893"/>
      <name val="Calibri"/>
      <family val="2"/>
      <scheme val="minor"/>
    </font>
    <font>
      <sz val="8"/>
      <name val="Calibri"/>
      <family val="2"/>
      <scheme val="minor"/>
    </font>
    <font>
      <sz val="11"/>
      <color rgb="FF0070C0"/>
      <name val="Calibri"/>
      <family val="2"/>
      <scheme val="minor"/>
    </font>
    <font>
      <u/>
      <sz val="11"/>
      <color theme="10"/>
      <name val="Calibri"/>
      <family val="2"/>
      <scheme val="minor"/>
    </font>
  </fonts>
  <fills count="16">
    <fill>
      <patternFill patternType="none"/>
    </fill>
    <fill>
      <patternFill patternType="gray125"/>
    </fill>
    <fill>
      <patternFill patternType="solid">
        <fgColor theme="8" tint="0.79998168889431442"/>
        <bgColor indexed="64"/>
      </patternFill>
    </fill>
    <fill>
      <patternFill patternType="solid">
        <fgColor theme="5"/>
        <bgColor theme="5"/>
      </patternFill>
    </fill>
    <fill>
      <patternFill patternType="solid">
        <fgColor theme="5" tint="0.59999389629810485"/>
        <bgColor theme="5" tint="0.59999389629810485"/>
      </patternFill>
    </fill>
    <fill>
      <patternFill patternType="solid">
        <fgColor theme="5" tint="0.79998168889431442"/>
        <bgColor theme="5" tint="0.79998168889431442"/>
      </patternFill>
    </fill>
    <fill>
      <patternFill patternType="solid">
        <fgColor theme="9"/>
        <bgColor theme="9"/>
      </patternFill>
    </fill>
    <fill>
      <patternFill patternType="solid">
        <fgColor theme="9" tint="0.79998168889431442"/>
        <bgColor theme="9" tint="0.79998168889431442"/>
      </patternFill>
    </fill>
    <fill>
      <patternFill patternType="solid">
        <fgColor rgb="FFF57792"/>
        <bgColor indexed="64"/>
      </patternFill>
    </fill>
    <fill>
      <patternFill patternType="solid">
        <fgColor theme="8"/>
        <bgColor indexed="64"/>
      </patternFill>
    </fill>
    <fill>
      <patternFill patternType="solid">
        <fgColor theme="0"/>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8"/>
        <bgColor theme="4" tint="0.79998168889431442"/>
      </patternFill>
    </fill>
    <fill>
      <patternFill patternType="solid">
        <fgColor theme="8"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theme="0"/>
      </left>
      <right/>
      <top style="thin">
        <color theme="0"/>
      </top>
      <bottom/>
      <diagonal/>
    </border>
    <border>
      <left style="thin">
        <color theme="0"/>
      </left>
      <right/>
      <top style="thick">
        <color theme="0"/>
      </top>
      <bottom/>
      <diagonal/>
    </border>
    <border>
      <left style="thin">
        <color theme="0"/>
      </left>
      <right/>
      <top/>
      <bottom/>
      <diagonal/>
    </border>
    <border>
      <left/>
      <right/>
      <top style="thick">
        <color theme="0"/>
      </top>
      <bottom/>
      <diagonal/>
    </border>
    <border>
      <left/>
      <right/>
      <top style="thin">
        <color theme="0"/>
      </top>
      <bottom/>
      <diagonal/>
    </border>
    <border>
      <left style="thin">
        <color theme="0"/>
      </left>
      <right style="thin">
        <color theme="0"/>
      </right>
      <top/>
      <bottom/>
      <diagonal/>
    </border>
    <border>
      <left/>
      <right/>
      <top/>
      <bottom style="thin">
        <color theme="4" tint="0.39997558519241921"/>
      </bottom>
      <diagonal/>
    </border>
    <border>
      <left style="thin">
        <color theme="9" tint="0.39997558519241921"/>
      </left>
      <right/>
      <top style="double">
        <color theme="9"/>
      </top>
      <bottom style="thin">
        <color theme="9" tint="0.39997558519241921"/>
      </bottom>
      <diagonal/>
    </border>
    <border>
      <left/>
      <right/>
      <top style="double">
        <color theme="9"/>
      </top>
      <bottom style="thin">
        <color theme="9" tint="0.39997558519241921"/>
      </bottom>
      <diagonal/>
    </border>
    <border>
      <left/>
      <right style="thin">
        <color theme="9" tint="0.39997558519241921"/>
      </right>
      <top style="double">
        <color theme="9"/>
      </top>
      <bottom style="thin">
        <color theme="9" tint="0.39997558519241921"/>
      </bottom>
      <diagonal/>
    </border>
    <border>
      <left/>
      <right/>
      <top style="thin">
        <color theme="9" tint="0.39997558519241921"/>
      </top>
      <bottom/>
      <diagonal/>
    </border>
  </borders>
  <cellStyleXfs count="3">
    <xf numFmtId="0" fontId="0" fillId="0" borderId="0"/>
    <xf numFmtId="9" fontId="1" fillId="0" borderId="0" applyFont="0" applyFill="0" applyBorder="0" applyAlignment="0" applyProtection="0"/>
    <xf numFmtId="0" fontId="10" fillId="0" borderId="0" applyNumberFormat="0" applyFill="0" applyBorder="0" applyAlignment="0" applyProtection="0"/>
  </cellStyleXfs>
  <cellXfs count="62">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0" fontId="0" fillId="0" borderId="0" xfId="1" applyNumberFormat="1" applyFont="1"/>
    <xf numFmtId="2" fontId="0" fillId="0" borderId="0" xfId="0" applyNumberFormat="1"/>
    <xf numFmtId="1" fontId="0" fillId="0" borderId="0" xfId="0" applyNumberFormat="1"/>
    <xf numFmtId="0" fontId="0" fillId="5" borderId="2" xfId="0" applyFill="1" applyBorder="1"/>
    <xf numFmtId="3" fontId="0" fillId="0" borderId="0" xfId="0" applyNumberFormat="1"/>
    <xf numFmtId="0" fontId="2" fillId="3" borderId="0" xfId="0" applyFont="1" applyFill="1"/>
    <xf numFmtId="0" fontId="2" fillId="3" borderId="4" xfId="0" applyFont="1" applyFill="1" applyBorder="1"/>
    <xf numFmtId="0" fontId="0" fillId="4" borderId="5" xfId="0" applyFill="1" applyBorder="1"/>
    <xf numFmtId="14" fontId="0" fillId="4" borderId="3" xfId="0" applyNumberFormat="1" applyFill="1" applyBorder="1"/>
    <xf numFmtId="0" fontId="0" fillId="4" borderId="3" xfId="0" applyFill="1" applyBorder="1"/>
    <xf numFmtId="0" fontId="0" fillId="5" borderId="6" xfId="0" applyFill="1" applyBorder="1"/>
    <xf numFmtId="14" fontId="0" fillId="5" borderId="2" xfId="0" applyNumberFormat="1" applyFill="1" applyBorder="1"/>
    <xf numFmtId="0" fontId="0" fillId="4" borderId="6" xfId="0" applyFill="1" applyBorder="1"/>
    <xf numFmtId="14" fontId="0" fillId="4" borderId="2" xfId="0" applyNumberFormat="1" applyFill="1" applyBorder="1"/>
    <xf numFmtId="0" fontId="0" fillId="4" borderId="2" xfId="0" applyFill="1" applyBorder="1"/>
    <xf numFmtId="0" fontId="2" fillId="3" borderId="7" xfId="0" applyFont="1" applyFill="1" applyBorder="1"/>
    <xf numFmtId="2" fontId="0" fillId="4" borderId="3" xfId="1" applyNumberFormat="1" applyFont="1" applyFill="1" applyBorder="1"/>
    <xf numFmtId="164" fontId="0" fillId="0" borderId="0" xfId="0" applyNumberFormat="1"/>
    <xf numFmtId="0" fontId="3" fillId="0" borderId="9" xfId="0" applyFont="1" applyBorder="1"/>
    <xf numFmtId="0" fontId="3" fillId="0" borderId="10" xfId="0" applyFont="1" applyBorder="1"/>
    <xf numFmtId="0" fontId="3" fillId="0" borderId="11" xfId="0" applyFont="1" applyBorder="1"/>
    <xf numFmtId="0" fontId="0" fillId="7" borderId="12" xfId="0" applyFill="1" applyBorder="1"/>
    <xf numFmtId="14" fontId="0" fillId="7" borderId="12" xfId="0" applyNumberFormat="1" applyFill="1" applyBorder="1"/>
    <xf numFmtId="0" fontId="0" fillId="0" borderId="12" xfId="0" applyBorder="1"/>
    <xf numFmtId="14" fontId="0" fillId="0" borderId="12" xfId="0" applyNumberFormat="1" applyBorder="1"/>
    <xf numFmtId="10" fontId="0" fillId="7" borderId="12" xfId="1" applyNumberFormat="1" applyFont="1" applyFill="1" applyBorder="1"/>
    <xf numFmtId="10" fontId="0" fillId="0" borderId="12" xfId="1" applyNumberFormat="1" applyFont="1" applyBorder="1"/>
    <xf numFmtId="0" fontId="2" fillId="6" borderId="0" xfId="0" applyFont="1" applyFill="1"/>
    <xf numFmtId="10" fontId="2" fillId="6" borderId="0" xfId="1" applyNumberFormat="1" applyFont="1" applyFill="1" applyBorder="1"/>
    <xf numFmtId="14" fontId="0" fillId="0" borderId="0" xfId="0" applyNumberFormat="1" applyAlignment="1">
      <alignment horizontal="left"/>
    </xf>
    <xf numFmtId="1" fontId="0" fillId="8" borderId="0" xfId="0" applyNumberFormat="1" applyFill="1"/>
    <xf numFmtId="0" fontId="0" fillId="10" borderId="0" xfId="0" applyFill="1" applyAlignment="1">
      <alignment horizontal="left"/>
    </xf>
    <xf numFmtId="0" fontId="3" fillId="11" borderId="0" xfId="0" applyFont="1" applyFill="1" applyAlignment="1">
      <alignment wrapText="1"/>
    </xf>
    <xf numFmtId="0" fontId="5" fillId="2" borderId="1" xfId="0" applyFont="1" applyFill="1" applyBorder="1" applyAlignment="1">
      <alignment wrapText="1"/>
    </xf>
    <xf numFmtId="0" fontId="5" fillId="2" borderId="0" xfId="0" applyFont="1" applyFill="1" applyAlignment="1">
      <alignment wrapText="1"/>
    </xf>
    <xf numFmtId="3" fontId="0" fillId="10" borderId="0" xfId="0" applyNumberFormat="1" applyFill="1"/>
    <xf numFmtId="0" fontId="0" fillId="13" borderId="0" xfId="0" applyFill="1" applyAlignment="1">
      <alignment horizontal="left"/>
    </xf>
    <xf numFmtId="2" fontId="0" fillId="13" borderId="0" xfId="0" applyNumberFormat="1" applyFill="1"/>
    <xf numFmtId="10" fontId="0" fillId="13" borderId="0" xfId="0" applyNumberFormat="1" applyFill="1"/>
    <xf numFmtId="0" fontId="5" fillId="2" borderId="0" xfId="0" applyFont="1" applyFill="1" applyAlignment="1">
      <alignment horizontal="left" wrapText="1"/>
    </xf>
    <xf numFmtId="0" fontId="0" fillId="12" borderId="0" xfId="0" applyFill="1" applyAlignment="1">
      <alignment horizontal="left"/>
    </xf>
    <xf numFmtId="1" fontId="0" fillId="12" borderId="0" xfId="0" applyNumberFormat="1" applyFill="1"/>
    <xf numFmtId="164" fontId="0" fillId="12" borderId="0" xfId="0" applyNumberFormat="1" applyFill="1"/>
    <xf numFmtId="0" fontId="4" fillId="0" borderId="0" xfId="0" applyFont="1"/>
    <xf numFmtId="14" fontId="0" fillId="10" borderId="0" xfId="0" applyNumberFormat="1" applyFill="1" applyAlignment="1">
      <alignment horizontal="left"/>
    </xf>
    <xf numFmtId="0" fontId="0" fillId="10" borderId="0" xfId="0" applyFill="1"/>
    <xf numFmtId="0" fontId="4" fillId="0" borderId="0" xfId="0" applyFont="1" applyAlignment="1">
      <alignment horizontal="left"/>
    </xf>
    <xf numFmtId="164" fontId="6" fillId="2" borderId="0" xfId="0" applyNumberFormat="1" applyFont="1" applyFill="1" applyAlignment="1">
      <alignment horizontal="center" vertical="center"/>
    </xf>
    <xf numFmtId="0" fontId="2" fillId="9" borderId="0" xfId="0" applyFont="1" applyFill="1"/>
    <xf numFmtId="0" fontId="2" fillId="14" borderId="8" xfId="0" applyFont="1" applyFill="1" applyBorder="1"/>
    <xf numFmtId="0" fontId="7" fillId="15" borderId="0" xfId="0" applyFont="1" applyFill="1" applyAlignment="1">
      <alignment horizontal="left"/>
    </xf>
    <xf numFmtId="10" fontId="7" fillId="15" borderId="0" xfId="0" applyNumberFormat="1" applyFont="1" applyFill="1"/>
    <xf numFmtId="0" fontId="0" fillId="0" borderId="0" xfId="0" applyAlignment="1">
      <alignment wrapText="1"/>
    </xf>
    <xf numFmtId="2" fontId="3" fillId="0" borderId="0" xfId="0" applyNumberFormat="1" applyFont="1" applyAlignment="1">
      <alignment horizontal="left"/>
    </xf>
    <xf numFmtId="0" fontId="9" fillId="15" borderId="0" xfId="0" applyFont="1" applyFill="1" applyAlignment="1">
      <alignment horizontal="left"/>
    </xf>
    <xf numFmtId="1" fontId="9" fillId="15" borderId="0" xfId="0" applyNumberFormat="1" applyFont="1" applyFill="1"/>
    <xf numFmtId="0" fontId="10" fillId="0" borderId="0" xfId="2"/>
  </cellXfs>
  <cellStyles count="3">
    <cellStyle name="Hyperlink" xfId="2" builtinId="8"/>
    <cellStyle name="Normal" xfId="0" builtinId="0"/>
    <cellStyle name="Percent" xfId="1" builtinId="5"/>
  </cellStyles>
  <dxfs count="89">
    <dxf>
      <numFmt numFmtId="0" formatCode="General"/>
    </dxf>
    <dxf>
      <numFmt numFmtId="164" formatCode="0.000"/>
    </dxf>
    <dxf>
      <numFmt numFmtId="1" formatCode="0"/>
    </dxf>
    <dxf>
      <numFmt numFmtId="14" formatCode="0.00%"/>
    </dxf>
    <dxf>
      <font>
        <b val="0"/>
        <i val="0"/>
        <strike val="0"/>
        <condense val="0"/>
        <extend val="0"/>
        <outline val="0"/>
        <shadow val="0"/>
        <u val="none"/>
        <vertAlign val="baseline"/>
        <sz val="11"/>
        <color theme="1"/>
        <name val="Calibri"/>
        <family val="2"/>
        <scheme val="minor"/>
      </font>
      <numFmt numFmtId="2" formatCode="0.00"/>
      <fill>
        <patternFill patternType="solid">
          <fgColor theme="5" tint="0.79998168889431442"/>
          <bgColor theme="5" tint="0.79998168889431442"/>
        </patternFill>
      </fill>
      <border diagonalUp="0" diagonalDown="0">
        <left/>
        <right/>
        <top style="thin">
          <color theme="0"/>
        </top>
        <bottom/>
      </border>
    </dxf>
    <dxf>
      <numFmt numFmtId="2" formatCode="0.00"/>
      <border outline="0">
        <right style="thin">
          <color theme="0"/>
        </right>
      </border>
    </dxf>
    <dxf>
      <border outline="0">
        <right style="thin">
          <color theme="0"/>
        </right>
      </border>
    </dxf>
    <dxf>
      <font>
        <b/>
        <i val="0"/>
        <strike val="0"/>
        <condense val="0"/>
        <extend val="0"/>
        <outline val="0"/>
        <shadow val="0"/>
        <u val="none"/>
        <vertAlign val="baseline"/>
        <sz val="11"/>
        <color theme="0"/>
        <name val="Calibri"/>
        <family val="2"/>
        <scheme val="minor"/>
      </font>
      <fill>
        <patternFill patternType="solid">
          <fgColor theme="5"/>
          <bgColor theme="5"/>
        </patternFill>
      </fill>
      <border diagonalUp="0" diagonalDown="0" outline="0">
        <left style="thin">
          <color theme="0"/>
        </left>
        <right style="thin">
          <color theme="0"/>
        </right>
        <top/>
        <bottom/>
      </border>
    </dxf>
    <dxf>
      <numFmt numFmtId="14" formatCode="0.00%"/>
    </dxf>
    <dxf>
      <numFmt numFmtId="14" formatCode="0.00%"/>
    </dxf>
    <dxf>
      <numFmt numFmtId="0" formatCode="General"/>
    </dxf>
    <dxf>
      <numFmt numFmtId="0" formatCode="General"/>
    </dxf>
    <dxf>
      <numFmt numFmtId="19" formatCode="m/d/yyyy"/>
    </dxf>
    <dxf>
      <numFmt numFmtId="19" formatCode="m/d/yyyy"/>
    </dxf>
    <dxf>
      <font>
        <b val="0"/>
        <i val="0"/>
        <strike val="0"/>
        <condense val="0"/>
        <extend val="0"/>
        <outline val="0"/>
        <shadow val="0"/>
        <u val="none"/>
        <vertAlign val="baseline"/>
        <sz val="11"/>
        <color theme="1"/>
        <name val="Calibri"/>
        <family val="2"/>
        <scheme val="minor"/>
      </font>
      <numFmt numFmtId="14" formatCode="0.0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14" formatCode="0.00%"/>
    </dxf>
    <dxf>
      <numFmt numFmtId="14" formatCode="0.00%"/>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fill>
        <patternFill>
          <bgColor theme="0"/>
        </patternFill>
      </fill>
    </dxf>
    <dxf>
      <fill>
        <patternFill>
          <bgColor theme="0"/>
        </patternFill>
      </fill>
    </dxf>
    <dxf>
      <fill>
        <patternFill patternType="solid">
          <bgColor rgb="FFF57792"/>
        </patternFill>
      </fill>
    </dxf>
    <dxf>
      <fill>
        <patternFill patternType="solid">
          <bgColor rgb="FFF57792"/>
        </patternFill>
      </fill>
    </dxf>
    <dxf>
      <fill>
        <patternFill>
          <bgColor theme="7" tint="0.79998168889431442"/>
        </patternFill>
      </fill>
    </dxf>
    <dxf>
      <fill>
        <patternFill>
          <bgColor theme="7" tint="0.79998168889431442"/>
        </patternFill>
      </fill>
    </dxf>
    <dxf>
      <fill>
        <patternFill patternType="solid">
          <bgColor theme="9" tint="0.59999389629810485"/>
        </patternFill>
      </fill>
    </dxf>
    <dxf>
      <numFmt numFmtId="1" formatCode="0"/>
    </dxf>
    <dxf>
      <numFmt numFmtId="164" formatCode="0.000"/>
    </dxf>
    <dxf>
      <fill>
        <patternFill>
          <bgColor theme="9" tint="0.59999389629810485"/>
        </patternFill>
      </fill>
    </dxf>
    <dxf>
      <fill>
        <patternFill>
          <bgColor theme="9" tint="0.59999389629810485"/>
        </patternFill>
      </fill>
    </dxf>
    <dxf>
      <fill>
        <patternFill patternType="solid">
          <bgColor theme="7" tint="0.59999389629810485"/>
        </patternFill>
      </fill>
    </dxf>
    <dxf>
      <fill>
        <patternFill patternType="solid">
          <bgColor theme="7" tint="0.59999389629810485"/>
        </patternFill>
      </fill>
    </dxf>
    <dxf>
      <numFmt numFmtId="2" formatCode="0.00"/>
    </dxf>
    <dxf>
      <fill>
        <patternFill>
          <bgColor theme="0"/>
        </patternFill>
      </fill>
    </dxf>
    <dxf>
      <fill>
        <patternFill patternType="solid">
          <bgColor theme="7" tint="0.79998168889431442"/>
        </patternFill>
      </fill>
    </dxf>
    <dxf>
      <numFmt numFmtId="3" formatCode="#,##0"/>
    </dxf>
    <dxf>
      <numFmt numFmtId="3" formatCode="#,##0"/>
    </dxf>
    <dxf>
      <numFmt numFmtId="1" formatCode="0"/>
    </dxf>
    <dxf>
      <numFmt numFmtId="1" formatCode="0"/>
    </dxf>
    <dxf>
      <numFmt numFmtId="14" formatCode="0.00%"/>
    </dxf>
    <dxf>
      <numFmt numFmtId="14" formatCode="0.00%"/>
    </dxf>
    <dxf>
      <numFmt numFmtId="2" formatCode="0.00"/>
    </dxf>
    <dxf>
      <numFmt numFmtId="1" formatCode="0"/>
    </dxf>
    <dxf>
      <numFmt numFmtId="1" formatCode="0"/>
    </dxf>
    <dxf>
      <numFmt numFmtId="1" formatCode="0"/>
    </dxf>
    <dxf>
      <numFmt numFmtId="14" formatCode="0.00%"/>
    </dxf>
    <dxf>
      <numFmt numFmtId="1" formatCode="0"/>
    </dxf>
    <dxf>
      <numFmt numFmtId="2" formatCode="0.00"/>
    </dxf>
    <dxf>
      <fill>
        <patternFill>
          <bgColor theme="0"/>
        </patternFill>
      </fill>
    </dxf>
    <dxf>
      <font>
        <color theme="1"/>
      </font>
    </dxf>
    <dxf>
      <fill>
        <patternFill>
          <bgColor theme="8"/>
        </patternFill>
      </fill>
    </dxf>
    <dxf>
      <fill>
        <patternFill patternType="solid">
          <bgColor rgb="FFF57792"/>
        </patternFill>
      </fill>
    </dxf>
    <dxf>
      <fill>
        <patternFill patternType="solid">
          <bgColor rgb="FFF57792"/>
        </patternFill>
      </fill>
    </dxf>
    <dxf>
      <numFmt numFmtId="1" formatCode="0"/>
    </dxf>
    <dxf>
      <numFmt numFmtId="14" formatCode="0.00%"/>
    </dxf>
    <dxf>
      <font>
        <color theme="4" tint="-0.249977111117893"/>
      </font>
    </dxf>
    <dxf>
      <font>
        <color theme="4" tint="-0.249977111117893"/>
      </font>
    </dxf>
    <dxf>
      <fill>
        <patternFill>
          <bgColor theme="8" tint="0.59999389629810485"/>
        </patternFill>
      </fill>
    </dxf>
    <dxf>
      <fill>
        <patternFill>
          <bgColor theme="8" tint="0.59999389629810485"/>
        </patternFill>
      </fill>
    </dxf>
    <dxf>
      <fill>
        <patternFill patternType="solid">
          <bgColor rgb="FFF57792"/>
        </patternFill>
      </fill>
    </dxf>
    <dxf>
      <numFmt numFmtId="14" formatCode="0.00%"/>
    </dxf>
    <dxf>
      <fill>
        <patternFill patternType="solid">
          <bgColor theme="8" tint="0.59999389629810485"/>
        </patternFill>
      </fill>
    </dxf>
    <dxf>
      <font>
        <color rgb="FF0070C0"/>
      </font>
    </dxf>
    <dxf>
      <numFmt numFmtId="1" formatCode="0"/>
    </dxf>
    <dxf>
      <font>
        <color theme="4" tint="-0.249977111117893"/>
      </font>
    </dxf>
    <dxf>
      <font>
        <color theme="4" tint="-0.249977111117893"/>
      </font>
    </dxf>
    <dxf>
      <fill>
        <patternFill patternType="solid">
          <bgColor theme="8" tint="0.59999389629810485"/>
        </patternFill>
      </fill>
    </dxf>
    <dxf>
      <fill>
        <patternFill patternType="solid">
          <bgColor theme="8" tint="0.59999389629810485"/>
        </patternFill>
      </fill>
    </dxf>
    <dxf>
      <numFmt numFmtId="14" formatCode="0.00%"/>
    </dxf>
  </dxfs>
  <tableStyles count="0" defaultTableStyle="TableStyleMedium2" defaultPivotStyle="PivotStyleLight16"/>
  <colors>
    <mruColors>
      <color rgb="FFF03059"/>
      <color rgb="FFF39C3D"/>
      <color rgb="FF6BC761"/>
      <color rgb="FFE87D48"/>
      <color rgb="FFDAEC32"/>
      <color rgb="FFF57792"/>
      <color rgb="FF9343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1/relationships/timelineCache" Target="timelineCaches/timelineCach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[Tesla_Social_Media_Analytics_Main.xlsx]Engagement Analysis 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Engagement</a:t>
            </a:r>
            <a:r>
              <a:rPr lang="en-GB" baseline="0"/>
              <a:t> Rate Vs Platform </a:t>
            </a:r>
            <a:endParaRPr lang="en-GB"/>
          </a:p>
        </c:rich>
      </c:tx>
      <c:layout>
        <c:manualLayout>
          <c:xMode val="edge"/>
          <c:yMode val="edge"/>
          <c:x val="0.32072900262467191"/>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'Engagement Analysis 1'!$B$2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'Engagement Analysis 1'!$A$3:$A$6</c:f>
              <c:strCache>
                <c:ptCount val="4"/>
                <c:pt idx="0">
                  <c:v>Instagram</c:v>
                </c:pt>
                <c:pt idx="1">
                  <c:v>Twitter</c:v>
                </c:pt>
                <c:pt idx="2">
                  <c:v>YouTube</c:v>
                </c:pt>
                <c:pt idx="3">
                  <c:v>Facebook</c:v>
                </c:pt>
              </c:strCache>
            </c:strRef>
          </c:cat>
          <c:val>
            <c:numRef>
              <c:f>'Engagement Analysis 1'!$B$3:$B$6</c:f>
              <c:numCache>
                <c:formatCode>0.00%</c:formatCode>
                <c:ptCount val="4"/>
                <c:pt idx="0">
                  <c:v>0.19329257693923488</c:v>
                </c:pt>
                <c:pt idx="1">
                  <c:v>0.14368407434207892</c:v>
                </c:pt>
                <c:pt idx="2">
                  <c:v>0.13118493770753806</c:v>
                </c:pt>
                <c:pt idx="3">
                  <c:v>0.12197289956132547</c:v>
                </c:pt>
              </c:numCache>
            </c:numRef>
          </c:val>
          <c:extLst>
            <c:ext xmlns:c16="http://schemas.microsoft.com/office/drawing/2014/chart" uri="{C3380CC4-5D6E-409C-BE32-E72D297353CC}">
              <c16:uniqueId val="{00000000-553A-4F4A-BB94-A1319982A228}"/>
            </c:ext>
          </c:extLst>
        </c:ser>
        <c:dLbls>
          <c:dLblPos val="outEnd"/>
          <c:showLegendKey val="0"/>
          <c:showVal val="1"/>
          <c:showCatName val="0"/>
          <c:showSerName val="0"/>
          <c:showPercent val="0"/>
          <c:showBubbleSize val="0"/>
        </c:dLbls>
        <c:gapWidth val="182"/>
        <c:axId val="1377986672"/>
        <c:axId val="1377984752"/>
      </c:barChart>
      <c:catAx>
        <c:axId val="1377986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984752"/>
        <c:crosses val="autoZero"/>
        <c:auto val="1"/>
        <c:lblAlgn val="ctr"/>
        <c:lblOffset val="100"/>
        <c:noMultiLvlLbl val="0"/>
      </c:catAx>
      <c:valAx>
        <c:axId val="137798475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98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[Tesla_Social_Media_Analytics_Main.xlsx]Engagement Analysis 1!PivotTable2</c:name>
    <c:fmtId val="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Top 10 Posts </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'Engagement Analysis 1'!$B$20</c:f>
              <c:strCache>
                <c:ptCount val="1"/>
                <c:pt idx="0">
                  <c:v>Total</c:v>
                </c:pt>
              </c:strCache>
            </c:strRef>
          </c:tx>
          <c:spPr>
            <a:solidFill>
              <a:schemeClr val="accent5"/>
            </a:solidFill>
            <a:ln>
              <a:noFill/>
            </a:ln>
            <a:effectLst/>
          </c:spPr>
          <c:invertIfNegative val="0"/>
          <c:cat>
            <c:strRef>
              <c:f>'Engagement Analysis 1'!$A$21:$A$30</c:f>
              <c:strCache>
                <c:ptCount val="10"/>
                <c:pt idx="0">
                  <c:v>P061</c:v>
                </c:pt>
                <c:pt idx="1">
                  <c:v>P144</c:v>
                </c:pt>
                <c:pt idx="2">
                  <c:v>P164</c:v>
                </c:pt>
                <c:pt idx="3">
                  <c:v>P261</c:v>
                </c:pt>
                <c:pt idx="4">
                  <c:v>P244</c:v>
                </c:pt>
                <c:pt idx="5">
                  <c:v>P215</c:v>
                </c:pt>
                <c:pt idx="6">
                  <c:v>P106</c:v>
                </c:pt>
                <c:pt idx="7">
                  <c:v>P161</c:v>
                </c:pt>
                <c:pt idx="8">
                  <c:v>P228</c:v>
                </c:pt>
                <c:pt idx="9">
                  <c:v>P279</c:v>
                </c:pt>
              </c:strCache>
            </c:strRef>
          </c:cat>
          <c:val>
            <c:numRef>
              <c:f>'Engagement Analysis 1'!$B$21:$B$30</c:f>
              <c:numCache>
                <c:formatCode>0</c:formatCode>
                <c:ptCount val="10"/>
                <c:pt idx="0">
                  <c:v>6278</c:v>
                </c:pt>
                <c:pt idx="1">
                  <c:v>6130</c:v>
                </c:pt>
                <c:pt idx="2">
                  <c:v>6061</c:v>
                </c:pt>
                <c:pt idx="3">
                  <c:v>6030</c:v>
                </c:pt>
                <c:pt idx="4">
                  <c:v>6029</c:v>
                </c:pt>
                <c:pt idx="5">
                  <c:v>5973</c:v>
                </c:pt>
                <c:pt idx="6">
                  <c:v>5939</c:v>
                </c:pt>
                <c:pt idx="7">
                  <c:v>5913</c:v>
                </c:pt>
                <c:pt idx="8">
                  <c:v>5900</c:v>
                </c:pt>
                <c:pt idx="9">
                  <c:v>5879</c:v>
                </c:pt>
              </c:numCache>
            </c:numRef>
          </c:val>
          <c:extLst>
            <c:ext xmlns:c16="http://schemas.microsoft.com/office/drawing/2014/chart" uri="{C3380CC4-5D6E-409C-BE32-E72D297353CC}">
              <c16:uniqueId val="{00000000-A3C1-46FB-B0B4-32B9BCB98C9A}"/>
            </c:ext>
          </c:extLst>
        </c:ser>
        <c:dLbls>
          <c:showLegendKey val="0"/>
          <c:showVal val="0"/>
          <c:showCatName val="0"/>
          <c:showSerName val="0"/>
          <c:showPercent val="0"/>
          <c:showBubbleSize val="0"/>
        </c:dLbls>
        <c:gapWidth val="219"/>
        <c:overlap val="-27"/>
        <c:axId val="915526431"/>
        <c:axId val="915510111"/>
      </c:barChart>
      <c:catAx>
        <c:axId val="91552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15510111"/>
        <c:crosses val="autoZero"/>
        <c:auto val="1"/>
        <c:lblAlgn val="ctr"/>
        <c:lblOffset val="100"/>
        <c:noMultiLvlLbl val="0"/>
      </c:catAx>
      <c:valAx>
        <c:axId val="9155101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1552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[Tesla_Social_Media_Analytics_Main.xlsx]Engagement Analysis 2!PivotTable4</c:name>
    <c:fmtId val="0"/>
  </c:pivotSource>
  <c:chart>
    <c:autoTitleDeleted val="0"/>
    <c:pivotFmts>
      <c:pivotFmt>
        <c:idx val="0"/>
        <c:spPr>
          <a:solidFill>
            <a:srgbClr val="E87D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'Engagement Analysis 2'!$B$3</c:f>
              <c:strCache>
                <c:ptCount val="1"/>
                <c:pt idx="0">
                  <c:v>Total Likes</c:v>
                </c:pt>
              </c:strCache>
            </c:strRef>
          </c:tx>
          <c:spPr>
            <a:solidFill>
              <a:srgbClr val="E87D48"/>
            </a:solidFill>
            <a:ln>
              <a:noFill/>
            </a:ln>
            <a:effectLst/>
          </c:spPr>
          <c:invertIfNegative val="0"/>
          <c:cat>
            <c:strRef>
              <c:f>'Engagement Analysis 2'!$A$4:$A$7</c:f>
              <c:strCache>
                <c:ptCount val="4"/>
                <c:pt idx="0">
                  <c:v>Facebook</c:v>
                </c:pt>
                <c:pt idx="1">
                  <c:v>Instagram</c:v>
                </c:pt>
                <c:pt idx="2">
                  <c:v>Twitter</c:v>
                </c:pt>
                <c:pt idx="3">
                  <c:v>YouTube</c:v>
                </c:pt>
              </c:strCache>
            </c:strRef>
          </c:cat>
          <c:val>
            <c:numRef>
              <c:f>'Engagement Analysis 2'!$B$4:$B$7</c:f>
              <c:numCache>
                <c:formatCode>General</c:formatCode>
                <c:ptCount val="4"/>
                <c:pt idx="0">
                  <c:v>28947</c:v>
                </c:pt>
                <c:pt idx="1">
                  <c:v>25770</c:v>
                </c:pt>
                <c:pt idx="2">
                  <c:v>29593</c:v>
                </c:pt>
                <c:pt idx="3">
                  <c:v>31285</c:v>
                </c:pt>
              </c:numCache>
            </c:numRef>
          </c:val>
          <c:extLst>
            <c:ext xmlns:c16="http://schemas.microsoft.com/office/drawing/2014/chart" uri="{C3380CC4-5D6E-409C-BE32-E72D297353CC}">
              <c16:uniqueId val="{00000000-F9A4-4F64-97F4-1CE73030A07B}"/>
            </c:ext>
          </c:extLst>
        </c:ser>
        <c:ser>
          <c:idx val="1"/>
          <c:order val="1"/>
          <c:tx>
            <c:strRef>
              <c:f>'Engagement Analysis 2'!$C$3</c:f>
              <c:strCache>
                <c:ptCount val="1"/>
                <c:pt idx="0">
                  <c:v>Total Shares</c:v>
                </c:pt>
              </c:strCache>
            </c:strRef>
          </c:tx>
          <c:spPr>
            <a:solidFill>
              <a:schemeClr val="accent4"/>
            </a:solidFill>
            <a:ln>
              <a:noFill/>
            </a:ln>
            <a:effectLst/>
          </c:spPr>
          <c:invertIfNegative val="0"/>
          <c:cat>
            <c:strRef>
              <c:f>'Engagement Analysis 2'!$A$4:$A$7</c:f>
              <c:strCache>
                <c:ptCount val="4"/>
                <c:pt idx="0">
                  <c:v>Facebook</c:v>
                </c:pt>
                <c:pt idx="1">
                  <c:v>Instagram</c:v>
                </c:pt>
                <c:pt idx="2">
                  <c:v>Twitter</c:v>
                </c:pt>
                <c:pt idx="3">
                  <c:v>YouTube</c:v>
                </c:pt>
              </c:strCache>
            </c:strRef>
          </c:cat>
          <c:val>
            <c:numRef>
              <c:f>'Engagement Analysis 2'!$C$4:$C$7</c:f>
              <c:numCache>
                <c:formatCode>General</c:formatCode>
                <c:ptCount val="4"/>
                <c:pt idx="0">
                  <c:v>3171</c:v>
                </c:pt>
                <c:pt idx="1">
                  <c:v>5912</c:v>
                </c:pt>
                <c:pt idx="2">
                  <c:v>6326</c:v>
                </c:pt>
                <c:pt idx="3">
                  <c:v>5586</c:v>
                </c:pt>
              </c:numCache>
            </c:numRef>
          </c:val>
          <c:extLst>
            <c:ext xmlns:c16="http://schemas.microsoft.com/office/drawing/2014/chart" uri="{C3380CC4-5D6E-409C-BE32-E72D297353CC}">
              <c16:uniqueId val="{00000001-F9A4-4F64-97F4-1CE73030A07B}"/>
            </c:ext>
          </c:extLst>
        </c:ser>
        <c:ser>
          <c:idx val="2"/>
          <c:order val="2"/>
          <c:tx>
            <c:strRef>
              <c:f>'Engagement Analysis 2'!$D$3</c:f>
              <c:strCache>
                <c:ptCount val="1"/>
                <c:pt idx="0">
                  <c:v>Total Comments</c:v>
                </c:pt>
              </c:strCache>
            </c:strRef>
          </c:tx>
          <c:spPr>
            <a:solidFill>
              <a:schemeClr val="accent3"/>
            </a:solidFill>
            <a:ln>
              <a:noFill/>
            </a:ln>
            <a:effectLst/>
          </c:spPr>
          <c:invertIfNegative val="0"/>
          <c:cat>
            <c:strRef>
              <c:f>'Engagement Analysis 2'!$A$4:$A$7</c:f>
              <c:strCache>
                <c:ptCount val="4"/>
                <c:pt idx="0">
                  <c:v>Facebook</c:v>
                </c:pt>
                <c:pt idx="1">
                  <c:v>Instagram</c:v>
                </c:pt>
                <c:pt idx="2">
                  <c:v>Twitter</c:v>
                </c:pt>
                <c:pt idx="3">
                  <c:v>YouTube</c:v>
                </c:pt>
              </c:strCache>
            </c:strRef>
          </c:cat>
          <c:val>
            <c:numRef>
              <c:f>'Engagement Analysis 2'!$D$4:$D$7</c:f>
              <c:numCache>
                <c:formatCode>General</c:formatCode>
                <c:ptCount val="4"/>
                <c:pt idx="0">
                  <c:v>2263</c:v>
                </c:pt>
                <c:pt idx="1">
                  <c:v>2128</c:v>
                </c:pt>
                <c:pt idx="2">
                  <c:v>3299</c:v>
                </c:pt>
                <c:pt idx="3">
                  <c:v>2589</c:v>
                </c:pt>
              </c:numCache>
            </c:numRef>
          </c:val>
          <c:extLst>
            <c:ext xmlns:c16="http://schemas.microsoft.com/office/drawing/2014/chart" uri="{C3380CC4-5D6E-409C-BE32-E72D297353CC}">
              <c16:uniqueId val="{00000002-F9A4-4F64-97F4-1CE73030A07B}"/>
            </c:ext>
          </c:extLst>
        </c:ser>
        <c:dLbls>
          <c:showLegendKey val="0"/>
          <c:showVal val="0"/>
          <c:showCatName val="0"/>
          <c:showSerName val="0"/>
          <c:showPercent val="0"/>
          <c:showBubbleSize val="0"/>
        </c:dLbls>
        <c:gapWidth val="219"/>
        <c:overlap val="-27"/>
        <c:axId val="916308815"/>
        <c:axId val="1323933103"/>
      </c:barChart>
      <c:catAx>
        <c:axId val="91630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933103"/>
        <c:crosses val="autoZero"/>
        <c:auto val="1"/>
        <c:lblAlgn val="ctr"/>
        <c:lblOffset val="100"/>
        <c:noMultiLvlLbl val="0"/>
      </c:catAx>
      <c:valAx>
        <c:axId val="132393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30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[Tesla_Social_Media_Analytics_Main.xlsx]Engagement Analysis 2!PivotTable18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Hashtag</a:t>
            </a:r>
            <a:r>
              <a:rPr lang="en-US" baseline="0"/>
              <a: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87D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'Engagement Analysis 2'!$B$40</c:f>
              <c:strCache>
                <c:ptCount val="1"/>
                <c:pt idx="0">
                  <c:v>Total</c:v>
                </c:pt>
              </c:strCache>
            </c:strRef>
          </c:tx>
          <c:spPr>
            <a:solidFill>
              <a:srgbClr val="E87D4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'Engagement Analysis 2'!$A$41:$A$46</c:f>
              <c:strCache>
                <c:ptCount val="6"/>
                <c:pt idx="0">
                  <c:v>#EVRevolution</c:v>
                </c:pt>
                <c:pt idx="1">
                  <c:v>#TeslaCoInnovation</c:v>
                </c:pt>
                <c:pt idx="2">
                  <c:v>#FutureOfDriving</c:v>
                </c:pt>
                <c:pt idx="3">
                  <c:v>#BetterWithTesla</c:v>
                </c:pt>
                <c:pt idx="4">
                  <c:v>#AnytimeIsTeslaTime</c:v>
                </c:pt>
                <c:pt idx="5">
                  <c:v>#SmoothLikeNitroTesla</c:v>
                </c:pt>
              </c:strCache>
            </c:strRef>
          </c:cat>
          <c:val>
            <c:numRef>
              <c:f>'Engagement Analysis 2'!$B$41:$B$46</c:f>
              <c:numCache>
                <c:formatCode>0.00%</c:formatCode>
                <c:ptCount val="6"/>
                <c:pt idx="0">
                  <c:v>0.15386132749296613</c:v>
                </c:pt>
                <c:pt idx="1">
                  <c:v>0.14515321153500599</c:v>
                </c:pt>
                <c:pt idx="2">
                  <c:v>0.14123247081320281</c:v>
                </c:pt>
                <c:pt idx="3">
                  <c:v>0.12589594685729985</c:v>
                </c:pt>
                <c:pt idx="4">
                  <c:v>0.11636073778371317</c:v>
                </c:pt>
                <c:pt idx="5">
                  <c:v>0.11481753670769271</c:v>
                </c:pt>
              </c:numCache>
            </c:numRef>
          </c:val>
          <c:extLst>
            <c:ext xmlns:c16="http://schemas.microsoft.com/office/drawing/2014/chart" uri="{C3380CC4-5D6E-409C-BE32-E72D297353CC}">
              <c16:uniqueId val="{00000000-3FC0-4A66-8A38-39F433F2E97B}"/>
            </c:ext>
          </c:extLst>
        </c:ser>
        <c:dLbls>
          <c:dLblPos val="outEnd"/>
          <c:showLegendKey val="0"/>
          <c:showVal val="1"/>
          <c:showCatName val="0"/>
          <c:showSerName val="0"/>
          <c:showPercent val="0"/>
          <c:showBubbleSize val="0"/>
        </c:dLbls>
        <c:gapWidth val="182"/>
        <c:axId val="2129467888"/>
        <c:axId val="152524735"/>
      </c:barChart>
      <c:catAx>
        <c:axId val="2129467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24735"/>
        <c:crosses val="autoZero"/>
        <c:auto val="1"/>
        <c:lblAlgn val="ctr"/>
        <c:lblOffset val="100"/>
        <c:noMultiLvlLbl val="0"/>
      </c:catAx>
      <c:valAx>
        <c:axId val="15252473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46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[Tesla_Social_Media_Analytics_Main.xlsx]Platform Analysis 1!PivotTable22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Platform</a:t>
            </a:r>
            <a:r>
              <a:rPr lang="en-GB" baseline="0"/>
              <a:t> Engagement</a:t>
            </a:r>
          </a:p>
        </c:rich>
      </c:tx>
      <c:layout>
        <c:manualLayout>
          <c:xMode val="edge"/>
          <c:yMode val="edge"/>
          <c:x val="0.34168730698623323"/>
          <c:y val="0.1002912019175173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'Platform Analysis 1'!$B$3</c:f>
              <c:strCache>
                <c:ptCount val="1"/>
                <c:pt idx="0">
                  <c:v>Avg Engagement</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 Analysis 1'!$A$4:$A$7</c:f>
              <c:strCache>
                <c:ptCount val="4"/>
                <c:pt idx="0">
                  <c:v>Instagram</c:v>
                </c:pt>
                <c:pt idx="1">
                  <c:v>Twitter</c:v>
                </c:pt>
                <c:pt idx="2">
                  <c:v>Facebook</c:v>
                </c:pt>
                <c:pt idx="3">
                  <c:v>YouTube</c:v>
                </c:pt>
              </c:strCache>
            </c:strRef>
          </c:cat>
          <c:val>
            <c:numRef>
              <c:f>'Platform Analysis 1'!$B$4:$B$7</c:f>
              <c:numCache>
                <c:formatCode>0.00</c:formatCode>
                <c:ptCount val="4"/>
                <c:pt idx="0">
                  <c:v>5.7156000000000002</c:v>
                </c:pt>
                <c:pt idx="1">
                  <c:v>5.6558000000000002</c:v>
                </c:pt>
                <c:pt idx="2">
                  <c:v>5.6486000000000001</c:v>
                </c:pt>
                <c:pt idx="3">
                  <c:v>5.5587999999999997</c:v>
                </c:pt>
              </c:numCache>
            </c:numRef>
          </c:val>
          <c:extLst>
            <c:ext xmlns:c16="http://schemas.microsoft.com/office/drawing/2014/chart" uri="{C3380CC4-5D6E-409C-BE32-E72D297353CC}">
              <c16:uniqueId val="{00000000-46BB-42D0-AF7B-B245E1C62C93}"/>
            </c:ext>
          </c:extLst>
        </c:ser>
        <c:ser>
          <c:idx val="1"/>
          <c:order val="1"/>
          <c:tx>
            <c:strRef>
              <c:f>'Platform Analysis 1'!$C$3</c:f>
              <c:strCache>
                <c:ptCount val="1"/>
                <c:pt idx="0">
                  <c:v>Max Engagement</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 Analysis 1'!$A$4:$A$7</c:f>
              <c:strCache>
                <c:ptCount val="4"/>
                <c:pt idx="0">
                  <c:v>Instagram</c:v>
                </c:pt>
                <c:pt idx="1">
                  <c:v>Twitter</c:v>
                </c:pt>
                <c:pt idx="2">
                  <c:v>Facebook</c:v>
                </c:pt>
                <c:pt idx="3">
                  <c:v>YouTube</c:v>
                </c:pt>
              </c:strCache>
            </c:strRef>
          </c:cat>
          <c:val>
            <c:numRef>
              <c:f>'Platform Analysis 1'!$C$4:$C$7</c:f>
              <c:numCache>
                <c:formatCode>General</c:formatCode>
                <c:ptCount val="4"/>
                <c:pt idx="0">
                  <c:v>9.41</c:v>
                </c:pt>
                <c:pt idx="1">
                  <c:v>9.43</c:v>
                </c:pt>
                <c:pt idx="2">
                  <c:v>9.4600000000000009</c:v>
                </c:pt>
                <c:pt idx="3">
                  <c:v>9.48</c:v>
                </c:pt>
              </c:numCache>
            </c:numRef>
          </c:val>
          <c:extLst>
            <c:ext xmlns:c16="http://schemas.microsoft.com/office/drawing/2014/chart" uri="{C3380CC4-5D6E-409C-BE32-E72D297353CC}">
              <c16:uniqueId val="{00000001-46BB-42D0-AF7B-B245E1C62C93}"/>
            </c:ext>
          </c:extLst>
        </c:ser>
        <c:dLbls>
          <c:dLblPos val="outEnd"/>
          <c:showLegendKey val="0"/>
          <c:showVal val="1"/>
          <c:showCatName val="0"/>
          <c:showSerName val="0"/>
          <c:showPercent val="0"/>
          <c:showBubbleSize val="0"/>
        </c:dLbls>
        <c:gapWidth val="219"/>
        <c:overlap val="-27"/>
        <c:axId val="47592751"/>
        <c:axId val="1236780255"/>
      </c:barChart>
      <c:catAx>
        <c:axId val="4759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780255"/>
        <c:crosses val="autoZero"/>
        <c:auto val="1"/>
        <c:lblAlgn val="ctr"/>
        <c:lblOffset val="100"/>
        <c:noMultiLvlLbl val="0"/>
      </c:catAx>
      <c:valAx>
        <c:axId val="123678025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9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[Tesla_Social_Media_Analytics_Main.xlsx]Platform Analysis 1!PivotTable25</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'Platform Analysis 1'!$B$20</c:f>
              <c:strCache>
                <c:ptCount val="1"/>
                <c:pt idx="0">
                  <c:v>Avg Followers Gained</c:v>
                </c:pt>
              </c:strCache>
            </c:strRef>
          </c:tx>
          <c:spPr>
            <a:solidFill>
              <a:schemeClr val="accent6"/>
            </a:solidFill>
            <a:ln>
              <a:noFill/>
            </a:ln>
            <a:effectLst/>
          </c:spPr>
          <c:invertIfNegative val="0"/>
          <c:cat>
            <c:strRef>
              <c:f>'Platform Analysis 1'!$A$21:$A$24</c:f>
              <c:strCache>
                <c:ptCount val="4"/>
                <c:pt idx="0">
                  <c:v>Instagram</c:v>
                </c:pt>
                <c:pt idx="1">
                  <c:v>Twitter</c:v>
                </c:pt>
                <c:pt idx="2">
                  <c:v>Facebook</c:v>
                </c:pt>
                <c:pt idx="3">
                  <c:v>YouTube</c:v>
                </c:pt>
              </c:strCache>
            </c:strRef>
          </c:cat>
          <c:val>
            <c:numRef>
              <c:f>'Platform Analysis 1'!$B$21:$B$24</c:f>
              <c:numCache>
                <c:formatCode>0</c:formatCode>
                <c:ptCount val="4"/>
                <c:pt idx="0">
                  <c:v>960.08</c:v>
                </c:pt>
                <c:pt idx="1">
                  <c:v>823.54</c:v>
                </c:pt>
                <c:pt idx="2">
                  <c:v>711.14</c:v>
                </c:pt>
                <c:pt idx="3">
                  <c:v>707.34</c:v>
                </c:pt>
              </c:numCache>
            </c:numRef>
          </c:val>
          <c:extLst>
            <c:ext xmlns:c16="http://schemas.microsoft.com/office/drawing/2014/chart" uri="{C3380CC4-5D6E-409C-BE32-E72D297353CC}">
              <c16:uniqueId val="{00000000-B3C4-43AC-8006-53628722283A}"/>
            </c:ext>
          </c:extLst>
        </c:ser>
        <c:dLbls>
          <c:showLegendKey val="0"/>
          <c:showVal val="0"/>
          <c:showCatName val="0"/>
          <c:showSerName val="0"/>
          <c:showPercent val="0"/>
          <c:showBubbleSize val="0"/>
        </c:dLbls>
        <c:gapWidth val="219"/>
        <c:overlap val="-27"/>
        <c:axId val="152992895"/>
        <c:axId val="152994815"/>
      </c:barChart>
      <c:lineChart>
        <c:grouping val="standard"/>
        <c:varyColors val="0"/>
        <c:ser>
          <c:idx val="1"/>
          <c:order val="1"/>
          <c:tx>
            <c:strRef>
              <c:f>'Platform Analysis 1'!$C$20</c:f>
              <c:strCache>
                <c:ptCount val="1"/>
                <c:pt idx="0">
                  <c:v>Avg Growth Rate</c:v>
                </c:pt>
              </c:strCache>
            </c:strRef>
          </c:tx>
          <c:spPr>
            <a:ln w="28575" cap="rnd">
              <a:solidFill>
                <a:schemeClr val="accent6">
                  <a:lumMod val="50000"/>
                </a:schemeClr>
              </a:solidFill>
              <a:round/>
            </a:ln>
            <a:effectLst/>
          </c:spPr>
          <c:marker>
            <c:symbol val="none"/>
          </c:marker>
          <c:cat>
            <c:strRef>
              <c:f>'Platform Analysis 1'!$A$21:$A$24</c:f>
              <c:strCache>
                <c:ptCount val="4"/>
                <c:pt idx="0">
                  <c:v>Instagram</c:v>
                </c:pt>
                <c:pt idx="1">
                  <c:v>Twitter</c:v>
                </c:pt>
                <c:pt idx="2">
                  <c:v>Facebook</c:v>
                </c:pt>
                <c:pt idx="3">
                  <c:v>YouTube</c:v>
                </c:pt>
              </c:strCache>
            </c:strRef>
          </c:cat>
          <c:val>
            <c:numRef>
              <c:f>'Platform Analysis 1'!$C$21:$C$24</c:f>
              <c:numCache>
                <c:formatCode>0.00%</c:formatCode>
                <c:ptCount val="4"/>
                <c:pt idx="0">
                  <c:v>5.8423705678845419E-3</c:v>
                </c:pt>
                <c:pt idx="1">
                  <c:v>9.8462444971903259E-3</c:v>
                </c:pt>
                <c:pt idx="2">
                  <c:v>5.6172953917649152E-3</c:v>
                </c:pt>
                <c:pt idx="3">
                  <c:v>9.4326224481468494E-3</c:v>
                </c:pt>
              </c:numCache>
            </c:numRef>
          </c:val>
          <c:smooth val="0"/>
          <c:extLst>
            <c:ext xmlns:c16="http://schemas.microsoft.com/office/drawing/2014/chart" uri="{C3380CC4-5D6E-409C-BE32-E72D297353CC}">
              <c16:uniqueId val="{00000001-B3C4-43AC-8006-53628722283A}"/>
            </c:ext>
          </c:extLst>
        </c:ser>
        <c:dLbls>
          <c:showLegendKey val="0"/>
          <c:showVal val="0"/>
          <c:showCatName val="0"/>
          <c:showSerName val="0"/>
          <c:showPercent val="0"/>
          <c:showBubbleSize val="0"/>
        </c:dLbls>
        <c:marker val="1"/>
        <c:smooth val="0"/>
        <c:axId val="152993855"/>
        <c:axId val="152997695"/>
      </c:lineChart>
      <c:catAx>
        <c:axId val="15299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94815"/>
        <c:crosses val="autoZero"/>
        <c:auto val="1"/>
        <c:lblAlgn val="ctr"/>
        <c:lblOffset val="100"/>
        <c:noMultiLvlLbl val="0"/>
      </c:catAx>
      <c:valAx>
        <c:axId val="1529948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92895"/>
        <c:crosses val="autoZero"/>
        <c:crossBetween val="between"/>
      </c:valAx>
      <c:valAx>
        <c:axId val="15299769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93855"/>
        <c:crosses val="max"/>
        <c:crossBetween val="between"/>
      </c:valAx>
      <c:catAx>
        <c:axId val="152993855"/>
        <c:scaling>
          <c:orientation val="minMax"/>
        </c:scaling>
        <c:delete val="1"/>
        <c:axPos val="b"/>
        <c:numFmt formatCode="General" sourceLinked="1"/>
        <c:majorTickMark val="out"/>
        <c:minorTickMark val="none"/>
        <c:tickLblPos val="nextTo"/>
        <c:crossAx val="1529976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[Tesla_Social_Media_Analytics_Main.xlsx]Platform Analysis 2!PivotTable28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Engagement</a:t>
            </a:r>
            <a:r>
              <a:rPr lang="en-GB" baseline="0"/>
              <a:t> Vs Ad Spend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pct75">
            <a:fgClr>
              <a:schemeClr val="accent1">
                <a:lumMod val="60000"/>
                <a:lumOff val="40000"/>
              </a:schemeClr>
            </a:fgClr>
            <a:bgClr>
              <a:schemeClr val="bg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'Platform Analysis 2'!$C$3</c:f>
              <c:strCache>
                <c:ptCount val="1"/>
                <c:pt idx="0">
                  <c:v>Ad Spend</c:v>
                </c:pt>
              </c:strCache>
            </c:strRef>
          </c:tx>
          <c:spPr>
            <a:pattFill prst="pct75">
              <a:fgClr>
                <a:schemeClr val="accent1">
                  <a:lumMod val="60000"/>
                  <a:lumOff val="40000"/>
                </a:schemeClr>
              </a:fgClr>
              <a:bgClr>
                <a:schemeClr val="bg1"/>
              </a:bgClr>
            </a:pattFill>
            <a:ln>
              <a:noFill/>
            </a:ln>
            <a:effectLst/>
          </c:spPr>
          <c:invertIfNegative val="0"/>
          <c:cat>
            <c:strRef>
              <c:f>'Platform Analysis 2'!$A$4:$A$7</c:f>
              <c:strCache>
                <c:ptCount val="4"/>
                <c:pt idx="0">
                  <c:v>Facebook</c:v>
                </c:pt>
                <c:pt idx="1">
                  <c:v>Instagram</c:v>
                </c:pt>
                <c:pt idx="2">
                  <c:v>Twitter</c:v>
                </c:pt>
                <c:pt idx="3">
                  <c:v>YouTube</c:v>
                </c:pt>
              </c:strCache>
            </c:strRef>
          </c:cat>
          <c:val>
            <c:numRef>
              <c:f>'Platform Analysis 2'!$C$4:$C$7</c:f>
              <c:numCache>
                <c:formatCode>0</c:formatCode>
                <c:ptCount val="4"/>
                <c:pt idx="0">
                  <c:v>27590.78</c:v>
                </c:pt>
                <c:pt idx="1">
                  <c:v>23287.46</c:v>
                </c:pt>
                <c:pt idx="2">
                  <c:v>21207.14</c:v>
                </c:pt>
                <c:pt idx="3">
                  <c:v>24572.94</c:v>
                </c:pt>
              </c:numCache>
            </c:numRef>
          </c:val>
          <c:extLst>
            <c:ext xmlns:c16="http://schemas.microsoft.com/office/drawing/2014/chart" uri="{C3380CC4-5D6E-409C-BE32-E72D297353CC}">
              <c16:uniqueId val="{00000001-5130-46F6-A174-E1067752F8A4}"/>
            </c:ext>
          </c:extLst>
        </c:ser>
        <c:dLbls>
          <c:showLegendKey val="0"/>
          <c:showVal val="0"/>
          <c:showCatName val="0"/>
          <c:showSerName val="0"/>
          <c:showPercent val="0"/>
          <c:showBubbleSize val="0"/>
        </c:dLbls>
        <c:gapWidth val="219"/>
        <c:axId val="1926886144"/>
        <c:axId val="1926896224"/>
      </c:barChart>
      <c:lineChart>
        <c:grouping val="standard"/>
        <c:varyColors val="0"/>
        <c:ser>
          <c:idx val="0"/>
          <c:order val="0"/>
          <c:tx>
            <c:strRef>
              <c:f>'Platform Analysis 2'!$B$3</c:f>
              <c:strCache>
                <c:ptCount val="1"/>
                <c:pt idx="0">
                  <c:v>Engagement</c:v>
                </c:pt>
              </c:strCache>
            </c:strRef>
          </c:tx>
          <c:spPr>
            <a:ln w="28575" cap="rnd">
              <a:solidFill>
                <a:schemeClr val="accent5">
                  <a:lumMod val="75000"/>
                </a:schemeClr>
              </a:solidFill>
              <a:round/>
            </a:ln>
            <a:effectLst/>
          </c:spPr>
          <c:marker>
            <c:symbol val="none"/>
          </c:marker>
          <c:cat>
            <c:strRef>
              <c:f>'Platform Analysis 2'!$A$4:$A$7</c:f>
              <c:strCache>
                <c:ptCount val="4"/>
                <c:pt idx="0">
                  <c:v>Facebook</c:v>
                </c:pt>
                <c:pt idx="1">
                  <c:v>Instagram</c:v>
                </c:pt>
                <c:pt idx="2">
                  <c:v>Twitter</c:v>
                </c:pt>
                <c:pt idx="3">
                  <c:v>YouTube</c:v>
                </c:pt>
              </c:strCache>
            </c:strRef>
          </c:cat>
          <c:val>
            <c:numRef>
              <c:f>'Platform Analysis 2'!$B$4:$B$7</c:f>
              <c:numCache>
                <c:formatCode>0.00</c:formatCode>
                <c:ptCount val="4"/>
                <c:pt idx="0">
                  <c:v>5.6486000000000001</c:v>
                </c:pt>
                <c:pt idx="1">
                  <c:v>5.7156000000000002</c:v>
                </c:pt>
                <c:pt idx="2">
                  <c:v>5.6558000000000002</c:v>
                </c:pt>
                <c:pt idx="3">
                  <c:v>5.5587999999999997</c:v>
                </c:pt>
              </c:numCache>
            </c:numRef>
          </c:val>
          <c:smooth val="0"/>
          <c:extLst>
            <c:ext xmlns:c16="http://schemas.microsoft.com/office/drawing/2014/chart" uri="{C3380CC4-5D6E-409C-BE32-E72D297353CC}">
              <c16:uniqueId val="{00000000-5130-46F6-A174-E1067752F8A4}"/>
            </c:ext>
          </c:extLst>
        </c:ser>
        <c:dLbls>
          <c:showLegendKey val="0"/>
          <c:showVal val="0"/>
          <c:showCatName val="0"/>
          <c:showSerName val="0"/>
          <c:showPercent val="0"/>
          <c:showBubbleSize val="0"/>
        </c:dLbls>
        <c:marker val="1"/>
        <c:smooth val="0"/>
        <c:axId val="1926901984"/>
        <c:axId val="1926901504"/>
      </c:lineChart>
      <c:catAx>
        <c:axId val="192688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96224"/>
        <c:crosses val="autoZero"/>
        <c:auto val="1"/>
        <c:lblAlgn val="ctr"/>
        <c:lblOffset val="100"/>
        <c:noMultiLvlLbl val="0"/>
      </c:catAx>
      <c:valAx>
        <c:axId val="1926896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86144"/>
        <c:crosses val="autoZero"/>
        <c:crossBetween val="between"/>
      </c:valAx>
      <c:valAx>
        <c:axId val="192690150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901984"/>
        <c:crosses val="max"/>
        <c:crossBetween val="between"/>
      </c:valAx>
      <c:catAx>
        <c:axId val="1926901984"/>
        <c:scaling>
          <c:orientation val="minMax"/>
        </c:scaling>
        <c:delete val="1"/>
        <c:axPos val="b"/>
        <c:numFmt formatCode="General" sourceLinked="1"/>
        <c:majorTickMark val="out"/>
        <c:minorTickMark val="none"/>
        <c:tickLblPos val="nextTo"/>
        <c:crossAx val="19269015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[Tesla_Social_Media_Analytics_Main.xlsx]Hashtag &amp; Content Strategy 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Post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19050" cap="rnd">
            <a:solidFill>
              <a:srgbClr val="E87D4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'Hashtag &amp; Content Strategy 1'!$B$25</c:f>
              <c:strCache>
                <c:ptCount val="1"/>
                <c:pt idx="0">
                  <c:v>Total</c:v>
                </c:pt>
              </c:strCache>
            </c:strRef>
          </c:tx>
          <c:spPr>
            <a:ln w="19050" cap="rnd">
              <a:solidFill>
                <a:srgbClr val="E87D48"/>
              </a:solidFill>
              <a:round/>
            </a:ln>
            <a:effectLst/>
          </c:spPr>
          <c:marker>
            <c:symbol val="none"/>
          </c:marker>
          <c:cat>
            <c:strRef>
              <c:f>'Hashtag &amp; Content Strategy 1'!$A$26:$A$128</c:f>
              <c:strCache>
                <c:ptCount val="103"/>
                <c:pt idx="0">
                  <c:v>P001</c:v>
                </c:pt>
                <c:pt idx="1">
                  <c:v>P011</c:v>
                </c:pt>
                <c:pt idx="2">
                  <c:v>P012</c:v>
                </c:pt>
                <c:pt idx="3">
                  <c:v>P014</c:v>
                </c:pt>
                <c:pt idx="4">
                  <c:v>P015</c:v>
                </c:pt>
                <c:pt idx="5">
                  <c:v>P016</c:v>
                </c:pt>
                <c:pt idx="6">
                  <c:v>P018</c:v>
                </c:pt>
                <c:pt idx="7">
                  <c:v>P021</c:v>
                </c:pt>
                <c:pt idx="8">
                  <c:v>P024</c:v>
                </c:pt>
                <c:pt idx="9">
                  <c:v>P026</c:v>
                </c:pt>
                <c:pt idx="10">
                  <c:v>P027</c:v>
                </c:pt>
                <c:pt idx="11">
                  <c:v>P028</c:v>
                </c:pt>
                <c:pt idx="12">
                  <c:v>P029</c:v>
                </c:pt>
                <c:pt idx="13">
                  <c:v>P035</c:v>
                </c:pt>
                <c:pt idx="14">
                  <c:v>P041</c:v>
                </c:pt>
                <c:pt idx="15">
                  <c:v>P045</c:v>
                </c:pt>
                <c:pt idx="16">
                  <c:v>P047</c:v>
                </c:pt>
                <c:pt idx="17">
                  <c:v>P051</c:v>
                </c:pt>
                <c:pt idx="18">
                  <c:v>P054</c:v>
                </c:pt>
                <c:pt idx="19">
                  <c:v>P056</c:v>
                </c:pt>
                <c:pt idx="20">
                  <c:v>P063</c:v>
                </c:pt>
                <c:pt idx="21">
                  <c:v>P064</c:v>
                </c:pt>
                <c:pt idx="22">
                  <c:v>P069</c:v>
                </c:pt>
                <c:pt idx="23">
                  <c:v>P073</c:v>
                </c:pt>
                <c:pt idx="24">
                  <c:v>P078</c:v>
                </c:pt>
                <c:pt idx="25">
                  <c:v>P080</c:v>
                </c:pt>
                <c:pt idx="26">
                  <c:v>P082</c:v>
                </c:pt>
                <c:pt idx="27">
                  <c:v>P084</c:v>
                </c:pt>
                <c:pt idx="28">
                  <c:v>P085</c:v>
                </c:pt>
                <c:pt idx="29">
                  <c:v>P087</c:v>
                </c:pt>
                <c:pt idx="30">
                  <c:v>P092</c:v>
                </c:pt>
                <c:pt idx="31">
                  <c:v>P094</c:v>
                </c:pt>
                <c:pt idx="32">
                  <c:v>P095</c:v>
                </c:pt>
                <c:pt idx="33">
                  <c:v>P096</c:v>
                </c:pt>
                <c:pt idx="34">
                  <c:v>P098</c:v>
                </c:pt>
                <c:pt idx="35">
                  <c:v>P099</c:v>
                </c:pt>
                <c:pt idx="36">
                  <c:v>P101</c:v>
                </c:pt>
                <c:pt idx="37">
                  <c:v>P105</c:v>
                </c:pt>
                <c:pt idx="38">
                  <c:v>P109</c:v>
                </c:pt>
                <c:pt idx="39">
                  <c:v>P112</c:v>
                </c:pt>
                <c:pt idx="40">
                  <c:v>P114</c:v>
                </c:pt>
                <c:pt idx="41">
                  <c:v>P118</c:v>
                </c:pt>
                <c:pt idx="42">
                  <c:v>P119</c:v>
                </c:pt>
                <c:pt idx="43">
                  <c:v>P121</c:v>
                </c:pt>
                <c:pt idx="44">
                  <c:v>P126</c:v>
                </c:pt>
                <c:pt idx="45">
                  <c:v>P127</c:v>
                </c:pt>
                <c:pt idx="46">
                  <c:v>P128</c:v>
                </c:pt>
                <c:pt idx="47">
                  <c:v>P131</c:v>
                </c:pt>
                <c:pt idx="48">
                  <c:v>P132</c:v>
                </c:pt>
                <c:pt idx="49">
                  <c:v>P135</c:v>
                </c:pt>
                <c:pt idx="50">
                  <c:v>P137</c:v>
                </c:pt>
                <c:pt idx="51">
                  <c:v>P138</c:v>
                </c:pt>
                <c:pt idx="52">
                  <c:v>P141</c:v>
                </c:pt>
                <c:pt idx="53">
                  <c:v>P142</c:v>
                </c:pt>
                <c:pt idx="54">
                  <c:v>P154</c:v>
                </c:pt>
                <c:pt idx="55">
                  <c:v>P155</c:v>
                </c:pt>
                <c:pt idx="56">
                  <c:v>P156</c:v>
                </c:pt>
                <c:pt idx="57">
                  <c:v>P157</c:v>
                </c:pt>
                <c:pt idx="58">
                  <c:v>P159</c:v>
                </c:pt>
                <c:pt idx="59">
                  <c:v>P162</c:v>
                </c:pt>
                <c:pt idx="60">
                  <c:v>P166</c:v>
                </c:pt>
                <c:pt idx="61">
                  <c:v>P167</c:v>
                </c:pt>
                <c:pt idx="62">
                  <c:v>P171</c:v>
                </c:pt>
                <c:pt idx="63">
                  <c:v>P173</c:v>
                </c:pt>
                <c:pt idx="64">
                  <c:v>P175</c:v>
                </c:pt>
                <c:pt idx="65">
                  <c:v>P183</c:v>
                </c:pt>
                <c:pt idx="66">
                  <c:v>P188</c:v>
                </c:pt>
                <c:pt idx="67">
                  <c:v>P190</c:v>
                </c:pt>
                <c:pt idx="68">
                  <c:v>P191</c:v>
                </c:pt>
                <c:pt idx="69">
                  <c:v>P195</c:v>
                </c:pt>
                <c:pt idx="70">
                  <c:v>P203</c:v>
                </c:pt>
                <c:pt idx="71">
                  <c:v>P204</c:v>
                </c:pt>
                <c:pt idx="72">
                  <c:v>P209</c:v>
                </c:pt>
                <c:pt idx="73">
                  <c:v>P210</c:v>
                </c:pt>
                <c:pt idx="74">
                  <c:v>P211</c:v>
                </c:pt>
                <c:pt idx="75">
                  <c:v>P214</c:v>
                </c:pt>
                <c:pt idx="76">
                  <c:v>P222</c:v>
                </c:pt>
                <c:pt idx="77">
                  <c:v>P227</c:v>
                </c:pt>
                <c:pt idx="78">
                  <c:v>P231</c:v>
                </c:pt>
                <c:pt idx="79">
                  <c:v>P233</c:v>
                </c:pt>
                <c:pt idx="80">
                  <c:v>P236</c:v>
                </c:pt>
                <c:pt idx="81">
                  <c:v>P237</c:v>
                </c:pt>
                <c:pt idx="82">
                  <c:v>P238</c:v>
                </c:pt>
                <c:pt idx="83">
                  <c:v>P239</c:v>
                </c:pt>
                <c:pt idx="84">
                  <c:v>P243</c:v>
                </c:pt>
                <c:pt idx="85">
                  <c:v>P244</c:v>
                </c:pt>
                <c:pt idx="86">
                  <c:v>P246</c:v>
                </c:pt>
                <c:pt idx="87">
                  <c:v>P247</c:v>
                </c:pt>
                <c:pt idx="88">
                  <c:v>P250</c:v>
                </c:pt>
                <c:pt idx="89">
                  <c:v>P251</c:v>
                </c:pt>
                <c:pt idx="90">
                  <c:v>P252</c:v>
                </c:pt>
                <c:pt idx="91">
                  <c:v>P254</c:v>
                </c:pt>
                <c:pt idx="92">
                  <c:v>P255</c:v>
                </c:pt>
                <c:pt idx="93">
                  <c:v>P263</c:v>
                </c:pt>
                <c:pt idx="94">
                  <c:v>P267</c:v>
                </c:pt>
                <c:pt idx="95">
                  <c:v>P277</c:v>
                </c:pt>
                <c:pt idx="96">
                  <c:v>P282</c:v>
                </c:pt>
                <c:pt idx="97">
                  <c:v>P283</c:v>
                </c:pt>
                <c:pt idx="98">
                  <c:v>P286</c:v>
                </c:pt>
                <c:pt idx="99">
                  <c:v>P288</c:v>
                </c:pt>
                <c:pt idx="100">
                  <c:v>P289</c:v>
                </c:pt>
                <c:pt idx="101">
                  <c:v>P295</c:v>
                </c:pt>
                <c:pt idx="102">
                  <c:v>P299</c:v>
                </c:pt>
              </c:strCache>
            </c:strRef>
          </c:cat>
          <c:val>
            <c:numRef>
              <c:f>'Hashtag &amp; Content Strategy 1'!$B$26:$B$128</c:f>
              <c:numCache>
                <c:formatCode>0.00%</c:formatCode>
                <c:ptCount val="103"/>
                <c:pt idx="0">
                  <c:v>9.0759753593429152E-2</c:v>
                </c:pt>
                <c:pt idx="1">
                  <c:v>0.1157126913265306</c:v>
                </c:pt>
                <c:pt idx="2">
                  <c:v>0.12885405960945528</c:v>
                </c:pt>
                <c:pt idx="3">
                  <c:v>0.14521452145214522</c:v>
                </c:pt>
                <c:pt idx="4">
                  <c:v>5.941358024691358E-2</c:v>
                </c:pt>
                <c:pt idx="5">
                  <c:v>7.5843713789107758E-2</c:v>
                </c:pt>
                <c:pt idx="6">
                  <c:v>0.10297222222222224</c:v>
                </c:pt>
                <c:pt idx="7">
                  <c:v>7.7249552156538517E-2</c:v>
                </c:pt>
                <c:pt idx="8">
                  <c:v>7.2070332803659209E-2</c:v>
                </c:pt>
                <c:pt idx="9">
                  <c:v>8.9730807577268201E-2</c:v>
                </c:pt>
                <c:pt idx="10">
                  <c:v>7.1501685934489398E-2</c:v>
                </c:pt>
                <c:pt idx="11">
                  <c:v>0.17057291666666666</c:v>
                </c:pt>
                <c:pt idx="12">
                  <c:v>0.21208106001558849</c:v>
                </c:pt>
                <c:pt idx="13">
                  <c:v>0.11861662987490802</c:v>
                </c:pt>
                <c:pt idx="14">
                  <c:v>0.18433235867446393</c:v>
                </c:pt>
                <c:pt idx="15">
                  <c:v>7.5229902106199939E-2</c:v>
                </c:pt>
                <c:pt idx="16">
                  <c:v>0.16683616863905326</c:v>
                </c:pt>
                <c:pt idx="17">
                  <c:v>7.8689839572192513E-2</c:v>
                </c:pt>
                <c:pt idx="18">
                  <c:v>0.16510298716704411</c:v>
                </c:pt>
                <c:pt idx="19">
                  <c:v>0.12936184657162253</c:v>
                </c:pt>
                <c:pt idx="20">
                  <c:v>5.2551586421122697E-2</c:v>
                </c:pt>
                <c:pt idx="21">
                  <c:v>8.2047718322909427E-2</c:v>
                </c:pt>
                <c:pt idx="22">
                  <c:v>9.3421052631578946E-2</c:v>
                </c:pt>
                <c:pt idx="23">
                  <c:v>6.4265122330790625E-2</c:v>
                </c:pt>
                <c:pt idx="24">
                  <c:v>8.2075471698113203E-2</c:v>
                </c:pt>
                <c:pt idx="25">
                  <c:v>7.7533348349475686E-2</c:v>
                </c:pt>
                <c:pt idx="26">
                  <c:v>8.558620689655172E-2</c:v>
                </c:pt>
                <c:pt idx="27">
                  <c:v>8.6737756939878202E-2</c:v>
                </c:pt>
                <c:pt idx="28">
                  <c:v>0.19156491900087785</c:v>
                </c:pt>
                <c:pt idx="29">
                  <c:v>0.20868152274837512</c:v>
                </c:pt>
                <c:pt idx="30">
                  <c:v>0.13599052880820836</c:v>
                </c:pt>
                <c:pt idx="31">
                  <c:v>0.16843866371633656</c:v>
                </c:pt>
                <c:pt idx="32">
                  <c:v>6.8108806480899509E-2</c:v>
                </c:pt>
                <c:pt idx="33">
                  <c:v>0.10339256865912765</c:v>
                </c:pt>
                <c:pt idx="34">
                  <c:v>0.1123809523809524</c:v>
                </c:pt>
                <c:pt idx="35">
                  <c:v>7.2000119875329657E-2</c:v>
                </c:pt>
                <c:pt idx="36">
                  <c:v>7.3707865168539333E-2</c:v>
                </c:pt>
                <c:pt idx="37">
                  <c:v>0.12896028558679162</c:v>
                </c:pt>
                <c:pt idx="38">
                  <c:v>0.16744313510550837</c:v>
                </c:pt>
                <c:pt idx="39">
                  <c:v>0.17441662408448305</c:v>
                </c:pt>
                <c:pt idx="40">
                  <c:v>0.12942500000000001</c:v>
                </c:pt>
                <c:pt idx="41">
                  <c:v>8.0158206987475278E-2</c:v>
                </c:pt>
                <c:pt idx="42">
                  <c:v>0.31705583756345179</c:v>
                </c:pt>
                <c:pt idx="43">
                  <c:v>0.32349397590361445</c:v>
                </c:pt>
                <c:pt idx="44">
                  <c:v>9.9829463465827106E-2</c:v>
                </c:pt>
                <c:pt idx="45">
                  <c:v>6.9311459413307311E-2</c:v>
                </c:pt>
                <c:pt idx="46">
                  <c:v>0.12537731780940059</c:v>
                </c:pt>
                <c:pt idx="47">
                  <c:v>0.13106060606060607</c:v>
                </c:pt>
                <c:pt idx="48">
                  <c:v>0.13493953401503478</c:v>
                </c:pt>
                <c:pt idx="49">
                  <c:v>6.461481657304112E-2</c:v>
                </c:pt>
                <c:pt idx="50">
                  <c:v>0.20871010638297871</c:v>
                </c:pt>
                <c:pt idx="51">
                  <c:v>0.16065573770491803</c:v>
                </c:pt>
                <c:pt idx="52">
                  <c:v>0.2316508937960042</c:v>
                </c:pt>
                <c:pt idx="53">
                  <c:v>6.9438087973557078E-2</c:v>
                </c:pt>
                <c:pt idx="54">
                  <c:v>0.31965192168237855</c:v>
                </c:pt>
                <c:pt idx="55">
                  <c:v>0.11489268506351293</c:v>
                </c:pt>
                <c:pt idx="56">
                  <c:v>0.1095786671562328</c:v>
                </c:pt>
                <c:pt idx="57">
                  <c:v>0.10793717277486913</c:v>
                </c:pt>
                <c:pt idx="58">
                  <c:v>0.21745283018867925</c:v>
                </c:pt>
                <c:pt idx="59">
                  <c:v>8.6630570595585168E-2</c:v>
                </c:pt>
                <c:pt idx="60">
                  <c:v>0.14320716458262928</c:v>
                </c:pt>
                <c:pt idx="61">
                  <c:v>9.859917557465242E-2</c:v>
                </c:pt>
                <c:pt idx="62">
                  <c:v>9.8068107400130972E-2</c:v>
                </c:pt>
                <c:pt idx="63">
                  <c:v>0.14348370927318296</c:v>
                </c:pt>
                <c:pt idx="64">
                  <c:v>0.6508215962441315</c:v>
                </c:pt>
                <c:pt idx="65">
                  <c:v>0.28696581196581195</c:v>
                </c:pt>
                <c:pt idx="66">
                  <c:v>8.4946236559139771E-2</c:v>
                </c:pt>
                <c:pt idx="67">
                  <c:v>5.5909322465613857E-2</c:v>
                </c:pt>
                <c:pt idx="68">
                  <c:v>9.9578134817341346E-2</c:v>
                </c:pt>
                <c:pt idx="69">
                  <c:v>0.13667732704931829</c:v>
                </c:pt>
                <c:pt idx="70">
                  <c:v>5.7332570758993957E-2</c:v>
                </c:pt>
                <c:pt idx="71">
                  <c:v>0.29713518352730528</c:v>
                </c:pt>
                <c:pt idx="72">
                  <c:v>8.2753164556962022E-2</c:v>
                </c:pt>
                <c:pt idx="73">
                  <c:v>0.48518407662376534</c:v>
                </c:pt>
                <c:pt idx="74">
                  <c:v>0.18632075471698112</c:v>
                </c:pt>
                <c:pt idx="75">
                  <c:v>0.37955854126679461</c:v>
                </c:pt>
                <c:pt idx="76">
                  <c:v>0.11143487163332808</c:v>
                </c:pt>
                <c:pt idx="77">
                  <c:v>0.11232349165596919</c:v>
                </c:pt>
                <c:pt idx="78">
                  <c:v>8.5734265734265722E-2</c:v>
                </c:pt>
                <c:pt idx="79">
                  <c:v>7.2969143576826198E-2</c:v>
                </c:pt>
                <c:pt idx="80">
                  <c:v>0.12943516308671441</c:v>
                </c:pt>
                <c:pt idx="81">
                  <c:v>6.7234398994834563E-2</c:v>
                </c:pt>
                <c:pt idx="82">
                  <c:v>7.2579365079365077E-2</c:v>
                </c:pt>
                <c:pt idx="83">
                  <c:v>0.25062082139446035</c:v>
                </c:pt>
                <c:pt idx="84">
                  <c:v>9.7001272669424113E-2</c:v>
                </c:pt>
                <c:pt idx="85">
                  <c:v>0.25869984981763572</c:v>
                </c:pt>
                <c:pt idx="86">
                  <c:v>0.23656250000000001</c:v>
                </c:pt>
                <c:pt idx="87">
                  <c:v>0.11879910213243548</c:v>
                </c:pt>
                <c:pt idx="88">
                  <c:v>7.3170731707317069E-2</c:v>
                </c:pt>
                <c:pt idx="89">
                  <c:v>0.11619462599854756</c:v>
                </c:pt>
                <c:pt idx="90">
                  <c:v>0.15761129727142173</c:v>
                </c:pt>
                <c:pt idx="91">
                  <c:v>0.13331166419019316</c:v>
                </c:pt>
                <c:pt idx="92">
                  <c:v>0.11996283514733208</c:v>
                </c:pt>
                <c:pt idx="93">
                  <c:v>0.26876680752977333</c:v>
                </c:pt>
                <c:pt idx="94">
                  <c:v>6.3947934081681396E-2</c:v>
                </c:pt>
                <c:pt idx="95">
                  <c:v>0.24763928234183191</c:v>
                </c:pt>
                <c:pt idx="96">
                  <c:v>0.1071650124069479</c:v>
                </c:pt>
                <c:pt idx="97">
                  <c:v>5.8243321401216137E-2</c:v>
                </c:pt>
                <c:pt idx="98">
                  <c:v>0.19484607062063539</c:v>
                </c:pt>
                <c:pt idx="99">
                  <c:v>6.800325430032543E-2</c:v>
                </c:pt>
                <c:pt idx="100">
                  <c:v>7.3018902217375503E-2</c:v>
                </c:pt>
                <c:pt idx="101">
                  <c:v>0.16540727459016394</c:v>
                </c:pt>
                <c:pt idx="102">
                  <c:v>0.13840458048129492</c:v>
                </c:pt>
              </c:numCache>
            </c:numRef>
          </c:val>
          <c:smooth val="0"/>
          <c:extLst>
            <c:ext xmlns:c16="http://schemas.microsoft.com/office/drawing/2014/chart" uri="{C3380CC4-5D6E-409C-BE32-E72D297353CC}">
              <c16:uniqueId val="{00000000-EC5F-4F43-925F-E760A62011EE}"/>
            </c:ext>
          </c:extLst>
        </c:ser>
        <c:dLbls>
          <c:showLegendKey val="0"/>
          <c:showVal val="0"/>
          <c:showCatName val="0"/>
          <c:showSerName val="0"/>
          <c:showPercent val="0"/>
          <c:showBubbleSize val="0"/>
        </c:dLbls>
        <c:smooth val="0"/>
        <c:axId val="152518975"/>
        <c:axId val="152516095"/>
      </c:lineChart>
      <c:catAx>
        <c:axId val="15251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16095"/>
        <c:crosses val="autoZero"/>
        <c:auto val="1"/>
        <c:lblAlgn val="ctr"/>
        <c:lblOffset val="100"/>
        <c:noMultiLvlLbl val="0"/>
      </c:catAx>
      <c:valAx>
        <c:axId val="152516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1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[Tesla_Social_Media_Analytics_Main.xlsx]Hashtag &amp; Content Strategy 2!PivotTable9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Content Performance</a:t>
            </a:r>
            <a:r>
              <a:rPr lang="en-US" baseline="0"/>
              <a:t> </a:t>
            </a:r>
            <a:endParaRPr lang="en-US"/>
          </a:p>
        </c:rich>
      </c:tx>
      <c:layout>
        <c:manualLayout>
          <c:xMode val="edge"/>
          <c:yMode val="edge"/>
          <c:x val="0.39179714709574348"/>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0305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39C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'Hashtag &amp; Content Strategy 2'!$B$3</c:f>
              <c:strCache>
                <c:ptCount val="1"/>
                <c:pt idx="0">
                  <c:v>Avg Engagements</c:v>
                </c:pt>
              </c:strCache>
            </c:strRef>
          </c:tx>
          <c:spPr>
            <a:solidFill>
              <a:srgbClr val="F39C3D"/>
            </a:solidFill>
            <a:ln>
              <a:noFill/>
            </a:ln>
            <a:effectLst/>
          </c:spPr>
          <c:invertIfNegative val="0"/>
          <c:cat>
            <c:strRef>
              <c:f>'Hashtag &amp; Content Strategy 2'!$A$4:$A$9</c:f>
              <c:strCache>
                <c:ptCount val="6"/>
                <c:pt idx="0">
                  <c:v>Text</c:v>
                </c:pt>
                <c:pt idx="1">
                  <c:v>Image</c:v>
                </c:pt>
                <c:pt idx="2">
                  <c:v>Video</c:v>
                </c:pt>
                <c:pt idx="3">
                  <c:v>Carousel</c:v>
                </c:pt>
                <c:pt idx="4">
                  <c:v>Reel</c:v>
                </c:pt>
                <c:pt idx="5">
                  <c:v>Story</c:v>
                </c:pt>
              </c:strCache>
            </c:strRef>
          </c:cat>
          <c:val>
            <c:numRef>
              <c:f>'Hashtag &amp; Content Strategy 2'!$B$4:$B$9</c:f>
              <c:numCache>
                <c:formatCode>0</c:formatCode>
                <c:ptCount val="6"/>
                <c:pt idx="0">
                  <c:v>3463.6666666666665</c:v>
                </c:pt>
                <c:pt idx="1">
                  <c:v>3483.0158730158732</c:v>
                </c:pt>
                <c:pt idx="2">
                  <c:v>3415.5581395348836</c:v>
                </c:pt>
                <c:pt idx="3">
                  <c:v>3440.3050847457625</c:v>
                </c:pt>
                <c:pt idx="4">
                  <c:v>3456.7234042553191</c:v>
                </c:pt>
                <c:pt idx="5">
                  <c:v>3490.217391304348</c:v>
                </c:pt>
              </c:numCache>
            </c:numRef>
          </c:val>
          <c:extLst>
            <c:ext xmlns:c16="http://schemas.microsoft.com/office/drawing/2014/chart" uri="{C3380CC4-5D6E-409C-BE32-E72D297353CC}">
              <c16:uniqueId val="{00000000-9F6F-4903-9FB3-BC9C8C0570DA}"/>
            </c:ext>
          </c:extLst>
        </c:ser>
        <c:dLbls>
          <c:showLegendKey val="0"/>
          <c:showVal val="0"/>
          <c:showCatName val="0"/>
          <c:showSerName val="0"/>
          <c:showPercent val="0"/>
          <c:showBubbleSize val="0"/>
        </c:dLbls>
        <c:gapWidth val="182"/>
        <c:axId val="152530015"/>
        <c:axId val="152527135"/>
      </c:barChart>
      <c:lineChart>
        <c:grouping val="standard"/>
        <c:varyColors val="0"/>
        <c:ser>
          <c:idx val="1"/>
          <c:order val="1"/>
          <c:tx>
            <c:strRef>
              <c:f>'Hashtag &amp; Content Strategy 2'!$C$3</c:f>
              <c:strCache>
                <c:ptCount val="1"/>
                <c:pt idx="0">
                  <c:v>Avg Engagement Rate</c:v>
                </c:pt>
              </c:strCache>
            </c:strRef>
          </c:tx>
          <c:spPr>
            <a:ln w="28575" cap="rnd">
              <a:solidFill>
                <a:srgbClr val="F03059"/>
              </a:solidFill>
              <a:round/>
            </a:ln>
            <a:effectLst/>
          </c:spPr>
          <c:marker>
            <c:symbol val="none"/>
          </c:marker>
          <c:cat>
            <c:strRef>
              <c:f>'Hashtag &amp; Content Strategy 2'!$A$4:$A$9</c:f>
              <c:strCache>
                <c:ptCount val="6"/>
                <c:pt idx="0">
                  <c:v>Text</c:v>
                </c:pt>
                <c:pt idx="1">
                  <c:v>Image</c:v>
                </c:pt>
                <c:pt idx="2">
                  <c:v>Video</c:v>
                </c:pt>
                <c:pt idx="3">
                  <c:v>Carousel</c:v>
                </c:pt>
                <c:pt idx="4">
                  <c:v>Reel</c:v>
                </c:pt>
                <c:pt idx="5">
                  <c:v>Story</c:v>
                </c:pt>
              </c:strCache>
            </c:strRef>
          </c:cat>
          <c:val>
            <c:numRef>
              <c:f>'Hashtag &amp; Content Strategy 2'!$C$4:$C$9</c:f>
              <c:numCache>
                <c:formatCode>0.00%</c:formatCode>
                <c:ptCount val="6"/>
                <c:pt idx="0">
                  <c:v>0.11750673823506556</c:v>
                </c:pt>
                <c:pt idx="1">
                  <c:v>0.136874940548697</c:v>
                </c:pt>
                <c:pt idx="2">
                  <c:v>0.14814844474464284</c:v>
                </c:pt>
                <c:pt idx="3">
                  <c:v>0.14814919934149992</c:v>
                </c:pt>
                <c:pt idx="4">
                  <c:v>0.15615682164328951</c:v>
                </c:pt>
                <c:pt idx="5">
                  <c:v>0.18425775384163354</c:v>
                </c:pt>
              </c:numCache>
            </c:numRef>
          </c:val>
          <c:smooth val="0"/>
          <c:extLst>
            <c:ext xmlns:c16="http://schemas.microsoft.com/office/drawing/2014/chart" uri="{C3380CC4-5D6E-409C-BE32-E72D297353CC}">
              <c16:uniqueId val="{00000000-C0B1-4149-AAF3-1B3E60948CEE}"/>
            </c:ext>
          </c:extLst>
        </c:ser>
        <c:dLbls>
          <c:showLegendKey val="0"/>
          <c:showVal val="0"/>
          <c:showCatName val="0"/>
          <c:showSerName val="0"/>
          <c:showPercent val="0"/>
          <c:showBubbleSize val="0"/>
        </c:dLbls>
        <c:marker val="1"/>
        <c:smooth val="0"/>
        <c:axId val="1905511088"/>
        <c:axId val="1905503888"/>
      </c:lineChart>
      <c:catAx>
        <c:axId val="15253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27135"/>
        <c:crosses val="autoZero"/>
        <c:auto val="1"/>
        <c:lblAlgn val="ctr"/>
        <c:lblOffset val="100"/>
        <c:noMultiLvlLbl val="0"/>
      </c:catAx>
      <c:valAx>
        <c:axId val="15252713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30015"/>
        <c:crosses val="autoZero"/>
        <c:crossBetween val="between"/>
      </c:valAx>
      <c:valAx>
        <c:axId val="19055038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511088"/>
        <c:crosses val="max"/>
        <c:crossBetween val="between"/>
      </c:valAx>
      <c:catAx>
        <c:axId val="1905511088"/>
        <c:scaling>
          <c:orientation val="minMax"/>
        </c:scaling>
        <c:delete val="1"/>
        <c:axPos val="b"/>
        <c:numFmt formatCode="General" sourceLinked="1"/>
        <c:majorTickMark val="out"/>
        <c:minorTickMark val="none"/>
        <c:tickLblPos val="nextTo"/>
        <c:crossAx val="19055038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[Tesla_Social_Media_Analytics_Main.xlsx]Campaign Effectiveness 2!PivotTable13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Campaign CPE</a:t>
            </a:r>
            <a:r>
              <a:rPr lang="en-GB" baseline="0"/>
              <a: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75000"/>
              </a:schemeClr>
            </a:solidFill>
            <a:round/>
          </a:ln>
          <a:effectLst/>
        </c:spPr>
        <c:marker>
          <c:symbol val="none"/>
        </c:marker>
      </c:pivotFmt>
      <c:pivotFmt>
        <c:idx val="5"/>
        <c:spPr>
          <a:ln w="28575" cap="rnd">
            <a:solidFill>
              <a:schemeClr val="accent6">
                <a:lumMod val="75000"/>
              </a:schemeClr>
            </a:solidFill>
            <a:round/>
          </a:ln>
          <a:effectLst/>
        </c:spPr>
        <c:marker>
          <c:symbol val="none"/>
        </c:marker>
      </c:pivotFmt>
      <c:pivotFmt>
        <c:idx val="6"/>
        <c:spPr>
          <a:ln w="28575" cap="rnd">
            <a:solidFill>
              <a:schemeClr val="accent6">
                <a:lumMod val="75000"/>
              </a:schemeClr>
            </a:solidFill>
            <a:round/>
          </a:ln>
          <a:effectLst/>
        </c:spPr>
        <c:marker>
          <c:symbol val="none"/>
        </c:marker>
      </c:pivotFmt>
      <c:pivotFmt>
        <c:idx val="7"/>
        <c:spPr>
          <a:ln w="28575" cap="rnd">
            <a:solidFill>
              <a:schemeClr val="accent6">
                <a:lumMod val="75000"/>
              </a:schemeClr>
            </a:solidFill>
            <a:round/>
          </a:ln>
          <a:effectLst/>
        </c:spPr>
        <c:marker>
          <c:symbol val="none"/>
        </c:marker>
      </c:pivotFmt>
      <c:pivotFmt>
        <c:idx val="8"/>
        <c:spPr>
          <a:pattFill prst="narHorz">
            <a:fgClr>
              <a:schemeClr val="accent6"/>
            </a:fgClr>
            <a:bgClr>
              <a:schemeClr val="bg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BC7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'Campaign Effectiveness 2'!$B$3</c:f>
              <c:strCache>
                <c:ptCount val="1"/>
                <c:pt idx="0">
                  <c:v>Total Engagements</c:v>
                </c:pt>
              </c:strCache>
            </c:strRef>
          </c:tx>
          <c:spPr>
            <a:pattFill prst="narHorz">
              <a:fgClr>
                <a:schemeClr val="accent6"/>
              </a:fgClr>
              <a:bgClr>
                <a:schemeClr val="bg1"/>
              </a:bgClr>
            </a:pattFill>
            <a:ln>
              <a:noFill/>
            </a:ln>
            <a:effectLst/>
          </c:spPr>
          <c:invertIfNegative val="0"/>
          <c:dPt>
            <c:idx val="0"/>
            <c:invertIfNegative val="0"/>
            <c:bubble3D val="0"/>
            <c:extLst>
              <c:ext xmlns:c16="http://schemas.microsoft.com/office/drawing/2014/chart" uri="{C3380CC4-5D6E-409C-BE32-E72D297353CC}">
                <c16:uniqueId val="{00000001-E16C-4172-B692-CA5D8BDF202D}"/>
              </c:ext>
            </c:extLst>
          </c:dPt>
          <c:dPt>
            <c:idx val="1"/>
            <c:invertIfNegative val="0"/>
            <c:bubble3D val="0"/>
            <c:extLst>
              <c:ext xmlns:c16="http://schemas.microsoft.com/office/drawing/2014/chart" uri="{C3380CC4-5D6E-409C-BE32-E72D297353CC}">
                <c16:uniqueId val="{00000003-E16C-4172-B692-CA5D8BDF202D}"/>
              </c:ext>
            </c:extLst>
          </c:dPt>
          <c:dPt>
            <c:idx val="2"/>
            <c:invertIfNegative val="0"/>
            <c:bubble3D val="0"/>
            <c:extLst>
              <c:ext xmlns:c16="http://schemas.microsoft.com/office/drawing/2014/chart" uri="{C3380CC4-5D6E-409C-BE32-E72D297353CC}">
                <c16:uniqueId val="{00000005-E16C-4172-B692-CA5D8BDF202D}"/>
              </c:ext>
            </c:extLst>
          </c:dPt>
          <c:dPt>
            <c:idx val="3"/>
            <c:invertIfNegative val="0"/>
            <c:bubble3D val="0"/>
            <c:extLst>
              <c:ext xmlns:c16="http://schemas.microsoft.com/office/drawing/2014/chart" uri="{C3380CC4-5D6E-409C-BE32-E72D297353CC}">
                <c16:uniqueId val="{00000007-E16C-4172-B692-CA5D8BDF202D}"/>
              </c:ext>
            </c:extLst>
          </c:dPt>
          <c:cat>
            <c:strRef>
              <c:f>'Campaign Effectiveness 2'!$A$4:$A$7</c:f>
              <c:strCache>
                <c:ptCount val="4"/>
                <c:pt idx="0">
                  <c:v>CybertruckLaunch</c:v>
                </c:pt>
                <c:pt idx="1">
                  <c:v>ModelYCampaign</c:v>
                </c:pt>
                <c:pt idx="2">
                  <c:v>SustainabilityDrive</c:v>
                </c:pt>
                <c:pt idx="3">
                  <c:v>FSDUpdate</c:v>
                </c:pt>
              </c:strCache>
            </c:strRef>
          </c:cat>
          <c:val>
            <c:numRef>
              <c:f>'Campaign Effectiveness 2'!$B$4:$B$7</c:f>
              <c:numCache>
                <c:formatCode>0</c:formatCode>
                <c:ptCount val="4"/>
                <c:pt idx="0">
                  <c:v>103773</c:v>
                </c:pt>
                <c:pt idx="1">
                  <c:v>137691</c:v>
                </c:pt>
                <c:pt idx="2">
                  <c:v>106020</c:v>
                </c:pt>
                <c:pt idx="3">
                  <c:v>33044</c:v>
                </c:pt>
              </c:numCache>
            </c:numRef>
          </c:val>
          <c:extLst>
            <c:ext xmlns:c16="http://schemas.microsoft.com/office/drawing/2014/chart" uri="{C3380CC4-5D6E-409C-BE32-E72D297353CC}">
              <c16:uniqueId val="{00000000-1173-41DD-B246-1A8D3EC813B6}"/>
            </c:ext>
          </c:extLst>
        </c:ser>
        <c:ser>
          <c:idx val="1"/>
          <c:order val="1"/>
          <c:tx>
            <c:strRef>
              <c:f>'Campaign Effectiveness 2'!$C$3</c:f>
              <c:strCache>
                <c:ptCount val="1"/>
                <c:pt idx="0">
                  <c:v>Total Spend</c:v>
                </c:pt>
              </c:strCache>
            </c:strRef>
          </c:tx>
          <c:spPr>
            <a:solidFill>
              <a:srgbClr val="6BC761"/>
            </a:solidFill>
            <a:ln>
              <a:noFill/>
            </a:ln>
            <a:effectLst/>
          </c:spPr>
          <c:invertIfNegative val="0"/>
          <c:cat>
            <c:strRef>
              <c:f>'Campaign Effectiveness 2'!$A$4:$A$7</c:f>
              <c:strCache>
                <c:ptCount val="4"/>
                <c:pt idx="0">
                  <c:v>CybertruckLaunch</c:v>
                </c:pt>
                <c:pt idx="1">
                  <c:v>ModelYCampaign</c:v>
                </c:pt>
                <c:pt idx="2">
                  <c:v>SustainabilityDrive</c:v>
                </c:pt>
                <c:pt idx="3">
                  <c:v>FSDUpdate</c:v>
                </c:pt>
              </c:strCache>
            </c:strRef>
          </c:cat>
          <c:val>
            <c:numRef>
              <c:f>'Campaign Effectiveness 2'!$C$4:$C$7</c:f>
              <c:numCache>
                <c:formatCode>0</c:formatCode>
                <c:ptCount val="4"/>
                <c:pt idx="0">
                  <c:v>150000</c:v>
                </c:pt>
                <c:pt idx="1">
                  <c:v>200000</c:v>
                </c:pt>
                <c:pt idx="2">
                  <c:v>180000</c:v>
                </c:pt>
                <c:pt idx="3">
                  <c:v>250000</c:v>
                </c:pt>
              </c:numCache>
            </c:numRef>
          </c:val>
          <c:extLst>
            <c:ext xmlns:c16="http://schemas.microsoft.com/office/drawing/2014/chart" uri="{C3380CC4-5D6E-409C-BE32-E72D297353CC}">
              <c16:uniqueId val="{00000008-6F74-461A-9BDA-2A810882D56C}"/>
            </c:ext>
          </c:extLst>
        </c:ser>
        <c:dLbls>
          <c:showLegendKey val="0"/>
          <c:showVal val="0"/>
          <c:showCatName val="0"/>
          <c:showSerName val="0"/>
          <c:showPercent val="0"/>
          <c:showBubbleSize val="0"/>
        </c:dLbls>
        <c:gapWidth val="219"/>
        <c:axId val="584178831"/>
        <c:axId val="587817087"/>
      </c:barChart>
      <c:lineChart>
        <c:grouping val="standard"/>
        <c:varyColors val="0"/>
        <c:ser>
          <c:idx val="2"/>
          <c:order val="2"/>
          <c:tx>
            <c:strRef>
              <c:f>'Campaign Effectiveness 2'!$D$3</c:f>
              <c:strCache>
                <c:ptCount val="1"/>
                <c:pt idx="0">
                  <c:v>Cost Per Engagement - CPE</c:v>
                </c:pt>
              </c:strCache>
            </c:strRef>
          </c:tx>
          <c:spPr>
            <a:ln w="28575" cap="rnd">
              <a:solidFill>
                <a:schemeClr val="accent6">
                  <a:lumMod val="75000"/>
                </a:schemeClr>
              </a:solidFill>
              <a:round/>
            </a:ln>
            <a:effectLst/>
          </c:spPr>
          <c:marker>
            <c:symbol val="none"/>
          </c:marker>
          <c:cat>
            <c:strRef>
              <c:f>'Campaign Effectiveness 2'!$A$4:$A$7</c:f>
              <c:strCache>
                <c:ptCount val="4"/>
                <c:pt idx="0">
                  <c:v>CybertruckLaunch</c:v>
                </c:pt>
                <c:pt idx="1">
                  <c:v>ModelYCampaign</c:v>
                </c:pt>
                <c:pt idx="2">
                  <c:v>SustainabilityDrive</c:v>
                </c:pt>
                <c:pt idx="3">
                  <c:v>FSDUpdate</c:v>
                </c:pt>
              </c:strCache>
            </c:strRef>
          </c:cat>
          <c:val>
            <c:numRef>
              <c:f>'Campaign Effectiveness 2'!$D$4:$D$7</c:f>
              <c:numCache>
                <c:formatCode>0.000</c:formatCode>
                <c:ptCount val="4"/>
                <c:pt idx="0">
                  <c:v>1.4454626926079037</c:v>
                </c:pt>
                <c:pt idx="1">
                  <c:v>1.4525277614368404</c:v>
                </c:pt>
                <c:pt idx="2">
                  <c:v>1.6977928692699491</c:v>
                </c:pt>
                <c:pt idx="3">
                  <c:v>7.5656700157365933</c:v>
                </c:pt>
              </c:numCache>
            </c:numRef>
          </c:val>
          <c:smooth val="0"/>
          <c:extLst>
            <c:ext xmlns:c16="http://schemas.microsoft.com/office/drawing/2014/chart" uri="{C3380CC4-5D6E-409C-BE32-E72D297353CC}">
              <c16:uniqueId val="{0000000A-6F74-461A-9BDA-2A810882D56C}"/>
            </c:ext>
          </c:extLst>
        </c:ser>
        <c:dLbls>
          <c:showLegendKey val="0"/>
          <c:showVal val="0"/>
          <c:showCatName val="0"/>
          <c:showSerName val="0"/>
          <c:showPercent val="0"/>
          <c:showBubbleSize val="0"/>
        </c:dLbls>
        <c:marker val="1"/>
        <c:smooth val="0"/>
        <c:axId val="142122255"/>
        <c:axId val="142121775"/>
      </c:lineChart>
      <c:catAx>
        <c:axId val="58417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817087"/>
        <c:crosses val="autoZero"/>
        <c:auto val="1"/>
        <c:lblAlgn val="ctr"/>
        <c:lblOffset val="100"/>
        <c:noMultiLvlLbl val="0"/>
      </c:catAx>
      <c:valAx>
        <c:axId val="5878170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178831"/>
        <c:crosses val="autoZero"/>
        <c:crossBetween val="between"/>
      </c:valAx>
      <c:valAx>
        <c:axId val="142121775"/>
        <c:scaling>
          <c:orientation val="minMax"/>
        </c:scaling>
        <c:delete val="0"/>
        <c:axPos val="r"/>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22255"/>
        <c:crosses val="max"/>
        <c:crossBetween val="between"/>
      </c:valAx>
      <c:catAx>
        <c:axId val="142122255"/>
        <c:scaling>
          <c:orientation val="minMax"/>
        </c:scaling>
        <c:delete val="1"/>
        <c:axPos val="b"/>
        <c:numFmt formatCode="General" sourceLinked="1"/>
        <c:majorTickMark val="out"/>
        <c:minorTickMark val="none"/>
        <c:tickLblPos val="nextTo"/>
        <c:crossAx val="1421217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[Tesla_Social_Media_Analytics_Main.xlsx]Campaign Effectiveness 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Campaign</a:t>
            </a:r>
            <a:r>
              <a:rPr lang="en-US" baseline="0"/>
              <a:t> Vs Follower Growth</a:t>
            </a:r>
          </a:p>
        </c:rich>
      </c:tx>
      <c:layout>
        <c:manualLayout>
          <c:xMode val="edge"/>
          <c:yMode val="edge"/>
          <c:x val="0.37383825417201549"/>
          <c:y val="8.19172412608729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BC76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BC761"/>
          </a:solidFill>
          <a:ln w="19050">
            <a:solidFill>
              <a:schemeClr val="lt1"/>
            </a:solidFill>
          </a:ln>
          <a:effectLst/>
        </c:spPr>
      </c:pivotFmt>
      <c:pivotFmt>
        <c:idx val="2"/>
        <c:spPr>
          <a:solidFill>
            <a:srgbClr val="6BC761"/>
          </a:solidFill>
          <a:ln w="19050">
            <a:solidFill>
              <a:schemeClr val="lt1"/>
            </a:solidFill>
          </a:ln>
          <a:effectLst/>
        </c:spPr>
      </c:pivotFmt>
      <c:pivotFmt>
        <c:idx val="3"/>
        <c:spPr>
          <a:solidFill>
            <a:srgbClr val="6BC761"/>
          </a:solidFill>
          <a:ln w="19050">
            <a:solidFill>
              <a:schemeClr val="lt1"/>
            </a:solidFill>
          </a:ln>
          <a:effectLst/>
        </c:spPr>
      </c:pivotFmt>
      <c:pivotFmt>
        <c:idx val="4"/>
        <c:spPr>
          <a:solidFill>
            <a:srgbClr val="6BC761"/>
          </a:solidFill>
          <a:ln w="19050">
            <a:solidFill>
              <a:schemeClr val="lt1"/>
            </a:solidFill>
          </a:ln>
          <a:effectLst/>
        </c:spPr>
      </c:pivotFmt>
    </c:pivotFmts>
    <c:plotArea>
      <c:layout>
        <c:manualLayout>
          <c:layoutTarget val="inner"/>
          <c:xMode val="edge"/>
          <c:yMode val="edge"/>
          <c:x val="0.4171105697795478"/>
          <c:y val="0.22625748117363192"/>
          <c:w val="0.51767762020761521"/>
          <c:h val="0.4806192737358212"/>
        </c:manualLayout>
      </c:layout>
      <c:barChart>
        <c:barDir val="bar"/>
        <c:grouping val="clustered"/>
        <c:varyColors val="0"/>
        <c:ser>
          <c:idx val="0"/>
          <c:order val="0"/>
          <c:tx>
            <c:strRef>
              <c:f>'Campaign Effectiveness 2'!$B$24</c:f>
              <c:strCache>
                <c:ptCount val="1"/>
                <c:pt idx="0">
                  <c:v>Total</c:v>
                </c:pt>
              </c:strCache>
            </c:strRef>
          </c:tx>
          <c:spPr>
            <a:solidFill>
              <a:srgbClr val="6BC76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2ED1-4358-A640-3DA450884164}"/>
              </c:ext>
            </c:extLst>
          </c:dPt>
          <c:dPt>
            <c:idx val="1"/>
            <c:invertIfNegative val="0"/>
            <c:bubble3D val="0"/>
            <c:extLst>
              <c:ext xmlns:c16="http://schemas.microsoft.com/office/drawing/2014/chart" uri="{C3380CC4-5D6E-409C-BE32-E72D297353CC}">
                <c16:uniqueId val="{00000003-2ED1-4358-A640-3DA450884164}"/>
              </c:ext>
            </c:extLst>
          </c:dPt>
          <c:dPt>
            <c:idx val="2"/>
            <c:invertIfNegative val="0"/>
            <c:bubble3D val="0"/>
            <c:extLst>
              <c:ext xmlns:c16="http://schemas.microsoft.com/office/drawing/2014/chart" uri="{C3380CC4-5D6E-409C-BE32-E72D297353CC}">
                <c16:uniqueId val="{00000005-2ED1-4358-A640-3DA450884164}"/>
              </c:ext>
            </c:extLst>
          </c:dPt>
          <c:dPt>
            <c:idx val="3"/>
            <c:invertIfNegative val="0"/>
            <c:bubble3D val="0"/>
            <c:extLst>
              <c:ext xmlns:c16="http://schemas.microsoft.com/office/drawing/2014/chart" uri="{C3380CC4-5D6E-409C-BE32-E72D297353CC}">
                <c16:uniqueId val="{00000007-2ED1-4358-A640-3DA4508841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Effectiveness 2'!$A$25:$A$28</c:f>
              <c:strCache>
                <c:ptCount val="4"/>
                <c:pt idx="0">
                  <c:v>SustainabilityDrive</c:v>
                </c:pt>
                <c:pt idx="1">
                  <c:v>CybertruckLaunch</c:v>
                </c:pt>
                <c:pt idx="2">
                  <c:v>ModelYCampaign</c:v>
                </c:pt>
                <c:pt idx="3">
                  <c:v>FSDUpdate</c:v>
                </c:pt>
              </c:strCache>
            </c:strRef>
          </c:cat>
          <c:val>
            <c:numRef>
              <c:f>'Campaign Effectiveness 2'!$B$25:$B$28</c:f>
              <c:numCache>
                <c:formatCode>General</c:formatCode>
                <c:ptCount val="4"/>
                <c:pt idx="0">
                  <c:v>11780</c:v>
                </c:pt>
                <c:pt idx="1">
                  <c:v>11253</c:v>
                </c:pt>
                <c:pt idx="2">
                  <c:v>8436</c:v>
                </c:pt>
                <c:pt idx="3">
                  <c:v>6530</c:v>
                </c:pt>
              </c:numCache>
            </c:numRef>
          </c:val>
          <c:extLst>
            <c:ext xmlns:c16="http://schemas.microsoft.com/office/drawing/2014/chart" uri="{C3380CC4-5D6E-409C-BE32-E72D297353CC}">
              <c16:uniqueId val="{00000000-442D-4E9A-A675-CECAAAC9FDAD}"/>
            </c:ext>
          </c:extLst>
        </c:ser>
        <c:dLbls>
          <c:showLegendKey val="0"/>
          <c:showVal val="0"/>
          <c:showCatName val="0"/>
          <c:showSerName val="0"/>
          <c:showPercent val="0"/>
          <c:showBubbleSize val="0"/>
        </c:dLbls>
        <c:gapWidth val="150"/>
        <c:axId val="1423744431"/>
        <c:axId val="1423741071"/>
      </c:barChart>
      <c:valAx>
        <c:axId val="142374107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744431"/>
        <c:crosses val="autoZero"/>
        <c:crossBetween val="between"/>
      </c:valAx>
      <c:catAx>
        <c:axId val="14237444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74107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[Tesla_Social_Media_Analytics_Main.xlsx]Follower Retention &amp; Loyalty 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Weekly Follower</a:t>
            </a:r>
            <a:r>
              <a:rPr lang="en-GB" baseline="0"/>
              <a:t> Growth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6BC76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'Follower Retention &amp; Loyalty 1'!$B$3:$B$4</c:f>
              <c:strCache>
                <c:ptCount val="1"/>
                <c:pt idx="0">
                  <c:v>Facebook</c:v>
                </c:pt>
              </c:strCache>
            </c:strRef>
          </c:tx>
          <c:spPr>
            <a:ln w="28575" cap="rnd">
              <a:solidFill>
                <a:srgbClr val="0070C0"/>
              </a:solidFill>
              <a:round/>
            </a:ln>
            <a:effectLst/>
          </c:spPr>
          <c:marker>
            <c:symbol val="none"/>
          </c:marker>
          <c:cat>
            <c:strRef>
              <c:f>'Follower Retention &amp; Loyalty 1'!$A$5:$A$18</c:f>
              <c:strCache>
                <c:ptCount val="14"/>
                <c:pt idx="0">
                  <c:v>7/1/2024</c:v>
                </c:pt>
                <c:pt idx="1">
                  <c:v>7/8/2024</c:v>
                </c:pt>
                <c:pt idx="2">
                  <c:v>7/15/2024</c:v>
                </c:pt>
                <c:pt idx="3">
                  <c:v>7/22/2024</c:v>
                </c:pt>
                <c:pt idx="4">
                  <c:v>7/29/2024</c:v>
                </c:pt>
                <c:pt idx="5">
                  <c:v>8/5/2024</c:v>
                </c:pt>
                <c:pt idx="6">
                  <c:v>8/12/2024</c:v>
                </c:pt>
                <c:pt idx="7">
                  <c:v>8/19/2024</c:v>
                </c:pt>
                <c:pt idx="8">
                  <c:v>8/26/2024</c:v>
                </c:pt>
                <c:pt idx="9">
                  <c:v>9/2/2024</c:v>
                </c:pt>
                <c:pt idx="10">
                  <c:v>9/9/2024</c:v>
                </c:pt>
                <c:pt idx="11">
                  <c:v>9/16/2024</c:v>
                </c:pt>
                <c:pt idx="12">
                  <c:v>9/23/2024</c:v>
                </c:pt>
                <c:pt idx="13">
                  <c:v>9/30/2024</c:v>
                </c:pt>
              </c:strCache>
            </c:strRef>
          </c:cat>
          <c:val>
            <c:numRef>
              <c:f>'Follower Retention &amp; Loyalty 1'!$B$5:$B$18</c:f>
              <c:numCache>
                <c:formatCode>General</c:formatCode>
                <c:ptCount val="14"/>
                <c:pt idx="0">
                  <c:v>64</c:v>
                </c:pt>
                <c:pt idx="1">
                  <c:v>309</c:v>
                </c:pt>
                <c:pt idx="2">
                  <c:v>-164</c:v>
                </c:pt>
                <c:pt idx="3">
                  <c:v>961</c:v>
                </c:pt>
                <c:pt idx="4">
                  <c:v>-318</c:v>
                </c:pt>
                <c:pt idx="5">
                  <c:v>-197</c:v>
                </c:pt>
                <c:pt idx="6">
                  <c:v>1334</c:v>
                </c:pt>
                <c:pt idx="7">
                  <c:v>1058</c:v>
                </c:pt>
                <c:pt idx="8">
                  <c:v>37</c:v>
                </c:pt>
                <c:pt idx="9">
                  <c:v>1045</c:v>
                </c:pt>
                <c:pt idx="10">
                  <c:v>1428</c:v>
                </c:pt>
                <c:pt idx="11">
                  <c:v>98</c:v>
                </c:pt>
                <c:pt idx="12">
                  <c:v>-19</c:v>
                </c:pt>
                <c:pt idx="13">
                  <c:v>-179</c:v>
                </c:pt>
              </c:numCache>
            </c:numRef>
          </c:val>
          <c:smooth val="0"/>
          <c:extLst>
            <c:ext xmlns:c16="http://schemas.microsoft.com/office/drawing/2014/chart" uri="{C3380CC4-5D6E-409C-BE32-E72D297353CC}">
              <c16:uniqueId val="{00000039-6503-4705-85CD-B7F364671C17}"/>
            </c:ext>
          </c:extLst>
        </c:ser>
        <c:ser>
          <c:idx val="1"/>
          <c:order val="1"/>
          <c:tx>
            <c:strRef>
              <c:f>'Follower Retention &amp; Loyalty 1'!$C$3:$C$4</c:f>
              <c:strCache>
                <c:ptCount val="1"/>
                <c:pt idx="0">
                  <c:v>Instagram</c:v>
                </c:pt>
              </c:strCache>
            </c:strRef>
          </c:tx>
          <c:spPr>
            <a:ln w="28575" cap="rnd">
              <a:solidFill>
                <a:srgbClr val="FF0000"/>
              </a:solidFill>
              <a:round/>
            </a:ln>
            <a:effectLst/>
          </c:spPr>
          <c:marker>
            <c:symbol val="none"/>
          </c:marker>
          <c:cat>
            <c:strRef>
              <c:f>'Follower Retention &amp; Loyalty 1'!$A$5:$A$18</c:f>
              <c:strCache>
                <c:ptCount val="14"/>
                <c:pt idx="0">
                  <c:v>7/1/2024</c:v>
                </c:pt>
                <c:pt idx="1">
                  <c:v>7/8/2024</c:v>
                </c:pt>
                <c:pt idx="2">
                  <c:v>7/15/2024</c:v>
                </c:pt>
                <c:pt idx="3">
                  <c:v>7/22/2024</c:v>
                </c:pt>
                <c:pt idx="4">
                  <c:v>7/29/2024</c:v>
                </c:pt>
                <c:pt idx="5">
                  <c:v>8/5/2024</c:v>
                </c:pt>
                <c:pt idx="6">
                  <c:v>8/12/2024</c:v>
                </c:pt>
                <c:pt idx="7">
                  <c:v>8/19/2024</c:v>
                </c:pt>
                <c:pt idx="8">
                  <c:v>8/26/2024</c:v>
                </c:pt>
                <c:pt idx="9">
                  <c:v>9/2/2024</c:v>
                </c:pt>
                <c:pt idx="10">
                  <c:v>9/9/2024</c:v>
                </c:pt>
                <c:pt idx="11">
                  <c:v>9/16/2024</c:v>
                </c:pt>
                <c:pt idx="12">
                  <c:v>9/23/2024</c:v>
                </c:pt>
                <c:pt idx="13">
                  <c:v>9/30/2024</c:v>
                </c:pt>
              </c:strCache>
            </c:strRef>
          </c:cat>
          <c:val>
            <c:numRef>
              <c:f>'Follower Retention &amp; Loyalty 1'!$C$5:$C$18</c:f>
              <c:numCache>
                <c:formatCode>General</c:formatCode>
                <c:ptCount val="14"/>
                <c:pt idx="0">
                  <c:v>-219</c:v>
                </c:pt>
                <c:pt idx="1">
                  <c:v>1672</c:v>
                </c:pt>
                <c:pt idx="2">
                  <c:v>1845</c:v>
                </c:pt>
                <c:pt idx="3">
                  <c:v>159</c:v>
                </c:pt>
                <c:pt idx="4">
                  <c:v>541</c:v>
                </c:pt>
                <c:pt idx="5">
                  <c:v>352</c:v>
                </c:pt>
                <c:pt idx="6">
                  <c:v>1325</c:v>
                </c:pt>
                <c:pt idx="7">
                  <c:v>76</c:v>
                </c:pt>
                <c:pt idx="8">
                  <c:v>1609</c:v>
                </c:pt>
                <c:pt idx="9">
                  <c:v>1247</c:v>
                </c:pt>
                <c:pt idx="10">
                  <c:v>1572</c:v>
                </c:pt>
                <c:pt idx="11">
                  <c:v>377</c:v>
                </c:pt>
                <c:pt idx="12">
                  <c:v>666</c:v>
                </c:pt>
                <c:pt idx="13">
                  <c:v>1025</c:v>
                </c:pt>
              </c:numCache>
            </c:numRef>
          </c:val>
          <c:smooth val="0"/>
          <c:extLst>
            <c:ext xmlns:c16="http://schemas.microsoft.com/office/drawing/2014/chart" uri="{C3380CC4-5D6E-409C-BE32-E72D297353CC}">
              <c16:uniqueId val="{00000001-C977-4656-9208-55E87B180FA6}"/>
            </c:ext>
          </c:extLst>
        </c:ser>
        <c:ser>
          <c:idx val="2"/>
          <c:order val="2"/>
          <c:tx>
            <c:strRef>
              <c:f>'Follower Retention &amp; Loyalty 1'!$D$3:$D$4</c:f>
              <c:strCache>
                <c:ptCount val="1"/>
                <c:pt idx="0">
                  <c:v>Twitter</c:v>
                </c:pt>
              </c:strCache>
            </c:strRef>
          </c:tx>
          <c:spPr>
            <a:ln w="28575" cap="rnd">
              <a:solidFill>
                <a:srgbClr val="6BC761"/>
              </a:solidFill>
              <a:round/>
            </a:ln>
            <a:effectLst/>
          </c:spPr>
          <c:marker>
            <c:symbol val="none"/>
          </c:marker>
          <c:cat>
            <c:strRef>
              <c:f>'Follower Retention &amp; Loyalty 1'!$A$5:$A$18</c:f>
              <c:strCache>
                <c:ptCount val="14"/>
                <c:pt idx="0">
                  <c:v>7/1/2024</c:v>
                </c:pt>
                <c:pt idx="1">
                  <c:v>7/8/2024</c:v>
                </c:pt>
                <c:pt idx="2">
                  <c:v>7/15/2024</c:v>
                </c:pt>
                <c:pt idx="3">
                  <c:v>7/22/2024</c:v>
                </c:pt>
                <c:pt idx="4">
                  <c:v>7/29/2024</c:v>
                </c:pt>
                <c:pt idx="5">
                  <c:v>8/5/2024</c:v>
                </c:pt>
                <c:pt idx="6">
                  <c:v>8/12/2024</c:v>
                </c:pt>
                <c:pt idx="7">
                  <c:v>8/19/2024</c:v>
                </c:pt>
                <c:pt idx="8">
                  <c:v>8/26/2024</c:v>
                </c:pt>
                <c:pt idx="9">
                  <c:v>9/2/2024</c:v>
                </c:pt>
                <c:pt idx="10">
                  <c:v>9/9/2024</c:v>
                </c:pt>
                <c:pt idx="11">
                  <c:v>9/16/2024</c:v>
                </c:pt>
                <c:pt idx="12">
                  <c:v>9/23/2024</c:v>
                </c:pt>
                <c:pt idx="13">
                  <c:v>9/30/2024</c:v>
                </c:pt>
              </c:strCache>
            </c:strRef>
          </c:cat>
          <c:val>
            <c:numRef>
              <c:f>'Follower Retention &amp; Loyalty 1'!$D$5:$D$18</c:f>
              <c:numCache>
                <c:formatCode>General</c:formatCode>
                <c:ptCount val="14"/>
                <c:pt idx="0">
                  <c:v>1357</c:v>
                </c:pt>
                <c:pt idx="1">
                  <c:v>547</c:v>
                </c:pt>
                <c:pt idx="2">
                  <c:v>429</c:v>
                </c:pt>
                <c:pt idx="3">
                  <c:v>1316</c:v>
                </c:pt>
                <c:pt idx="4">
                  <c:v>1495</c:v>
                </c:pt>
                <c:pt idx="5">
                  <c:v>328</c:v>
                </c:pt>
                <c:pt idx="6">
                  <c:v>37</c:v>
                </c:pt>
                <c:pt idx="7">
                  <c:v>1665</c:v>
                </c:pt>
                <c:pt idx="8">
                  <c:v>1229</c:v>
                </c:pt>
                <c:pt idx="9">
                  <c:v>197</c:v>
                </c:pt>
                <c:pt idx="10">
                  <c:v>260</c:v>
                </c:pt>
                <c:pt idx="11">
                  <c:v>1125</c:v>
                </c:pt>
                <c:pt idx="12">
                  <c:v>1680</c:v>
                </c:pt>
                <c:pt idx="13">
                  <c:v>599</c:v>
                </c:pt>
              </c:numCache>
            </c:numRef>
          </c:val>
          <c:smooth val="0"/>
          <c:extLst>
            <c:ext xmlns:c16="http://schemas.microsoft.com/office/drawing/2014/chart" uri="{C3380CC4-5D6E-409C-BE32-E72D297353CC}">
              <c16:uniqueId val="{00000002-C977-4656-9208-55E87B180FA6}"/>
            </c:ext>
          </c:extLst>
        </c:ser>
        <c:ser>
          <c:idx val="3"/>
          <c:order val="3"/>
          <c:tx>
            <c:strRef>
              <c:f>'Follower Retention &amp; Loyalty 1'!$E$3:$E$4</c:f>
              <c:strCache>
                <c:ptCount val="1"/>
                <c:pt idx="0">
                  <c:v>YouTube</c:v>
                </c:pt>
              </c:strCache>
            </c:strRef>
          </c:tx>
          <c:spPr>
            <a:ln w="28575" cap="rnd">
              <a:solidFill>
                <a:srgbClr val="FFFF00"/>
              </a:solidFill>
              <a:round/>
            </a:ln>
            <a:effectLst/>
          </c:spPr>
          <c:marker>
            <c:symbol val="none"/>
          </c:marker>
          <c:cat>
            <c:strRef>
              <c:f>'Follower Retention &amp; Loyalty 1'!$A$5:$A$18</c:f>
              <c:strCache>
                <c:ptCount val="14"/>
                <c:pt idx="0">
                  <c:v>7/1/2024</c:v>
                </c:pt>
                <c:pt idx="1">
                  <c:v>7/8/2024</c:v>
                </c:pt>
                <c:pt idx="2">
                  <c:v>7/15/2024</c:v>
                </c:pt>
                <c:pt idx="3">
                  <c:v>7/22/2024</c:v>
                </c:pt>
                <c:pt idx="4">
                  <c:v>7/29/2024</c:v>
                </c:pt>
                <c:pt idx="5">
                  <c:v>8/5/2024</c:v>
                </c:pt>
                <c:pt idx="6">
                  <c:v>8/12/2024</c:v>
                </c:pt>
                <c:pt idx="7">
                  <c:v>8/19/2024</c:v>
                </c:pt>
                <c:pt idx="8">
                  <c:v>8/26/2024</c:v>
                </c:pt>
                <c:pt idx="9">
                  <c:v>9/2/2024</c:v>
                </c:pt>
                <c:pt idx="10">
                  <c:v>9/9/2024</c:v>
                </c:pt>
                <c:pt idx="11">
                  <c:v>9/16/2024</c:v>
                </c:pt>
                <c:pt idx="12">
                  <c:v>9/23/2024</c:v>
                </c:pt>
                <c:pt idx="13">
                  <c:v>9/30/2024</c:v>
                </c:pt>
              </c:strCache>
            </c:strRef>
          </c:cat>
          <c:val>
            <c:numRef>
              <c:f>'Follower Retention &amp; Loyalty 1'!$E$5:$E$18</c:f>
              <c:numCache>
                <c:formatCode>General</c:formatCode>
                <c:ptCount val="14"/>
                <c:pt idx="0">
                  <c:v>91</c:v>
                </c:pt>
                <c:pt idx="1">
                  <c:v>514</c:v>
                </c:pt>
                <c:pt idx="2">
                  <c:v>160</c:v>
                </c:pt>
                <c:pt idx="3">
                  <c:v>317</c:v>
                </c:pt>
                <c:pt idx="4">
                  <c:v>475</c:v>
                </c:pt>
                <c:pt idx="5">
                  <c:v>319</c:v>
                </c:pt>
                <c:pt idx="6">
                  <c:v>1032</c:v>
                </c:pt>
                <c:pt idx="7">
                  <c:v>190</c:v>
                </c:pt>
                <c:pt idx="8">
                  <c:v>28</c:v>
                </c:pt>
                <c:pt idx="9">
                  <c:v>333</c:v>
                </c:pt>
                <c:pt idx="10">
                  <c:v>1100</c:v>
                </c:pt>
                <c:pt idx="11">
                  <c:v>-32</c:v>
                </c:pt>
                <c:pt idx="12">
                  <c:v>1006</c:v>
                </c:pt>
                <c:pt idx="13">
                  <c:v>1706</c:v>
                </c:pt>
              </c:numCache>
            </c:numRef>
          </c:val>
          <c:smooth val="0"/>
          <c:extLst>
            <c:ext xmlns:c16="http://schemas.microsoft.com/office/drawing/2014/chart" uri="{C3380CC4-5D6E-409C-BE32-E72D297353CC}">
              <c16:uniqueId val="{00000003-C977-4656-9208-55E87B180FA6}"/>
            </c:ext>
          </c:extLst>
        </c:ser>
        <c:dLbls>
          <c:showLegendKey val="0"/>
          <c:showVal val="0"/>
          <c:showCatName val="0"/>
          <c:showSerName val="0"/>
          <c:showPercent val="0"/>
          <c:showBubbleSize val="0"/>
        </c:dLbls>
        <c:smooth val="0"/>
        <c:axId val="334854688"/>
        <c:axId val="580735967"/>
      </c:lineChart>
      <c:catAx>
        <c:axId val="33485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735967"/>
        <c:crosses val="autoZero"/>
        <c:auto val="1"/>
        <c:lblAlgn val="ctr"/>
        <c:lblOffset val="100"/>
        <c:noMultiLvlLbl val="0"/>
      </c:catAx>
      <c:valAx>
        <c:axId val="580735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85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[Tesla_Social_Media_Analytics_Main.xlsx]Follower Retention &amp; Loyalty 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Top</a:t>
            </a:r>
            <a:r>
              <a:rPr lang="en-GB" baseline="0"/>
              <a:t> 5 Weeks - Follower Growth</a:t>
            </a:r>
          </a:p>
        </c:rich>
      </c:tx>
      <c:layout>
        <c:manualLayout>
          <c:xMode val="edge"/>
          <c:yMode val="edge"/>
          <c:x val="0.36268744531933506"/>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'Follower Retention &amp; Loyalty 1'!$B$60</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'Follower Retention &amp; Loyalty 1'!$A$61:$A$65</c:f>
              <c:strCache>
                <c:ptCount val="5"/>
                <c:pt idx="0">
                  <c:v>12/30/2024</c:v>
                </c:pt>
                <c:pt idx="1">
                  <c:v>2/10/2025</c:v>
                </c:pt>
                <c:pt idx="2">
                  <c:v>12/16/2024</c:v>
                </c:pt>
                <c:pt idx="3">
                  <c:v>2/24/2025</c:v>
                </c:pt>
                <c:pt idx="4">
                  <c:v>12/2/2024</c:v>
                </c:pt>
              </c:strCache>
            </c:strRef>
          </c:cat>
          <c:val>
            <c:numRef>
              <c:f>'Follower Retention &amp; Loyalty 1'!$B$61:$B$65</c:f>
              <c:numCache>
                <c:formatCode>General</c:formatCode>
                <c:ptCount val="5"/>
                <c:pt idx="0">
                  <c:v>6530</c:v>
                </c:pt>
                <c:pt idx="1">
                  <c:v>5281</c:v>
                </c:pt>
                <c:pt idx="2">
                  <c:v>5044</c:v>
                </c:pt>
                <c:pt idx="3">
                  <c:v>4806</c:v>
                </c:pt>
                <c:pt idx="4">
                  <c:v>4795</c:v>
                </c:pt>
              </c:numCache>
            </c:numRef>
          </c:val>
          <c:extLst>
            <c:ext xmlns:c16="http://schemas.microsoft.com/office/drawing/2014/chart" uri="{C3380CC4-5D6E-409C-BE32-E72D297353CC}">
              <c16:uniqueId val="{00000000-9459-4B77-ADB1-00A204DD5CEA}"/>
            </c:ext>
          </c:extLst>
        </c:ser>
        <c:dLbls>
          <c:dLblPos val="outEnd"/>
          <c:showLegendKey val="0"/>
          <c:showVal val="1"/>
          <c:showCatName val="0"/>
          <c:showSerName val="0"/>
          <c:showPercent val="0"/>
          <c:showBubbleSize val="0"/>
        </c:dLbls>
        <c:gapWidth val="182"/>
        <c:axId val="152979455"/>
        <c:axId val="152982815"/>
      </c:barChart>
      <c:catAx>
        <c:axId val="15297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82815"/>
        <c:crosses val="autoZero"/>
        <c:auto val="1"/>
        <c:lblAlgn val="ctr"/>
        <c:lblOffset val="100"/>
        <c:noMultiLvlLbl val="0"/>
      </c:catAx>
      <c:valAx>
        <c:axId val="152982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7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Ad-Spend Vs Follower Growth</a:t>
            </a:r>
          </a:p>
        </c:rich>
      </c:tx>
      <c:layout>
        <c:manualLayout>
          <c:xMode val="edge"/>
          <c:yMode val="edge"/>
          <c:x val="0.32345545963381084"/>
          <c:y val="3.3834586466165412E-2"/>
        </c:manualLayout>
      </c:layout>
      <c:overlay val="0"/>
      <c:spPr>
        <a:noFill/>
        <a:ln>
          <a:noFill/>
        </a:ln>
        <a:effectLst/>
      </c:spPr>
    </c:title>
    <c:autoTitleDeleted val="0"/>
    <c:plotArea>
      <c:layout/>
      <c:scatterChart>
        <c:scatterStyle val="lineMarker"/>
        <c:varyColors val="1"/>
        <c:ser>
          <c:idx val="0"/>
          <c:order val="0"/>
          <c:spPr>
            <a:ln w="25400">
              <a:noFill/>
            </a:ln>
          </c:spPr>
          <c:marker>
            <c:symbol val="circle"/>
            <c:size val="5"/>
          </c:marker>
          <c:dPt>
            <c:idx val="0"/>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bubble3D val="0"/>
            <c:spPr>
              <a:ln w="25400" cap="rnd">
                <a:noFill/>
                <a:round/>
              </a:ln>
              <a:effectLst/>
            </c:spPr>
            <c:extLst>
              <c:ext xmlns:c16="http://schemas.microsoft.com/office/drawing/2014/chart" uri="{C3380CC4-5D6E-409C-BE32-E72D297353CC}">
                <c16:uniqueId val="{00000001-37F9-40EA-A76B-0D54D13FE724}"/>
              </c:ext>
            </c:extLst>
          </c:dPt>
          <c:dPt>
            <c:idx val="1"/>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bubble3D val="0"/>
            <c:spPr>
              <a:ln w="25400" cap="rnd">
                <a:noFill/>
                <a:round/>
              </a:ln>
              <a:effectLst/>
            </c:spPr>
            <c:extLst>
              <c:ext xmlns:c16="http://schemas.microsoft.com/office/drawing/2014/chart" uri="{C3380CC4-5D6E-409C-BE32-E72D297353CC}">
                <c16:uniqueId val="{00000003-37F9-40EA-A76B-0D54D13FE724}"/>
              </c:ext>
            </c:extLst>
          </c:dPt>
          <c:dPt>
            <c:idx val="2"/>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c:spPr>
            </c:marker>
            <c:bubble3D val="0"/>
            <c:spPr>
              <a:ln w="25400" cap="rnd">
                <a:noFill/>
                <a:round/>
              </a:ln>
              <a:effectLst/>
            </c:spPr>
            <c:extLst>
              <c:ext xmlns:c16="http://schemas.microsoft.com/office/drawing/2014/chart" uri="{C3380CC4-5D6E-409C-BE32-E72D297353CC}">
                <c16:uniqueId val="{00000005-37F9-40EA-A76B-0D54D13FE724}"/>
              </c:ext>
            </c:extLst>
          </c:dPt>
          <c:dPt>
            <c:idx val="3"/>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c:spPr>
            </c:marker>
            <c:bubble3D val="0"/>
            <c:spPr>
              <a:ln w="25400" cap="rnd">
                <a:noFill/>
                <a:round/>
              </a:ln>
              <a:effectLst/>
            </c:spPr>
            <c:extLst>
              <c:ext xmlns:c16="http://schemas.microsoft.com/office/drawing/2014/chart" uri="{C3380CC4-5D6E-409C-BE32-E72D297353CC}">
                <c16:uniqueId val="{00000007-37F9-40EA-A76B-0D54D13FE724}"/>
              </c:ext>
            </c:extLst>
          </c:dPt>
          <c:dPt>
            <c:idx val="4"/>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c:spPr>
            </c:marker>
            <c:bubble3D val="0"/>
            <c:spPr>
              <a:ln w="25400" cap="rnd">
                <a:noFill/>
                <a:round/>
              </a:ln>
              <a:effectLst/>
            </c:spPr>
            <c:extLst>
              <c:ext xmlns:c16="http://schemas.microsoft.com/office/drawing/2014/chart" uri="{C3380CC4-5D6E-409C-BE32-E72D297353CC}">
                <c16:uniqueId val="{00000009-37F9-40EA-A76B-0D54D13FE724}"/>
              </c:ext>
            </c:extLst>
          </c:dPt>
          <c:dPt>
            <c:idx val="5"/>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bubble3D val="0"/>
            <c:spPr>
              <a:ln w="25400" cap="rnd">
                <a:noFill/>
                <a:round/>
              </a:ln>
              <a:effectLst/>
            </c:spPr>
            <c:extLst>
              <c:ext xmlns:c16="http://schemas.microsoft.com/office/drawing/2014/chart" uri="{C3380CC4-5D6E-409C-BE32-E72D297353CC}">
                <c16:uniqueId val="{0000000B-37F9-40EA-A76B-0D54D13FE724}"/>
              </c:ext>
            </c:extLst>
          </c:dPt>
          <c:dPt>
            <c:idx val="6"/>
            <c:marker>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c:spPr>
            </c:marker>
            <c:bubble3D val="0"/>
            <c:spPr>
              <a:ln w="25400" cap="rnd">
                <a:noFill/>
                <a:round/>
              </a:ln>
              <a:effectLst/>
            </c:spPr>
            <c:extLst>
              <c:ext xmlns:c16="http://schemas.microsoft.com/office/drawing/2014/chart" uri="{C3380CC4-5D6E-409C-BE32-E72D297353CC}">
                <c16:uniqueId val="{0000000D-37F9-40EA-A76B-0D54D13FE724}"/>
              </c:ext>
            </c:extLst>
          </c:dPt>
          <c:dPt>
            <c:idx val="7"/>
            <c:marker>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c:spPr>
            </c:marker>
            <c:bubble3D val="0"/>
            <c:spPr>
              <a:ln w="25400" cap="rnd">
                <a:noFill/>
                <a:round/>
              </a:ln>
              <a:effectLst/>
            </c:spPr>
            <c:extLst>
              <c:ext xmlns:c16="http://schemas.microsoft.com/office/drawing/2014/chart" uri="{C3380CC4-5D6E-409C-BE32-E72D297353CC}">
                <c16:uniqueId val="{0000000F-37F9-40EA-A76B-0D54D13FE724}"/>
              </c:ext>
            </c:extLst>
          </c:dPt>
          <c:dPt>
            <c:idx val="8"/>
            <c:marker>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c:spPr>
            </c:marker>
            <c:bubble3D val="0"/>
            <c:spPr>
              <a:ln w="25400" cap="rnd">
                <a:noFill/>
                <a:round/>
              </a:ln>
              <a:effectLst/>
            </c:spPr>
            <c:extLst>
              <c:ext xmlns:c16="http://schemas.microsoft.com/office/drawing/2014/chart" uri="{C3380CC4-5D6E-409C-BE32-E72D297353CC}">
                <c16:uniqueId val="{00000011-37F9-40EA-A76B-0D54D13FE724}"/>
              </c:ext>
            </c:extLst>
          </c:dPt>
          <c:dPt>
            <c:idx val="9"/>
            <c:marker>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c:spPr>
            </c:marker>
            <c:bubble3D val="0"/>
            <c:spPr>
              <a:ln w="25400" cap="rnd">
                <a:noFill/>
                <a:round/>
              </a:ln>
              <a:effectLst/>
            </c:spPr>
            <c:extLst>
              <c:ext xmlns:c16="http://schemas.microsoft.com/office/drawing/2014/chart" uri="{C3380CC4-5D6E-409C-BE32-E72D297353CC}">
                <c16:uniqueId val="{00000013-37F9-40EA-A76B-0D54D13FE724}"/>
              </c:ext>
            </c:extLst>
          </c:dPt>
          <c:dPt>
            <c:idx val="10"/>
            <c:marker>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c:spPr>
            </c:marker>
            <c:bubble3D val="0"/>
            <c:spPr>
              <a:ln w="25400" cap="rnd">
                <a:noFill/>
                <a:round/>
              </a:ln>
              <a:effectLst/>
            </c:spPr>
            <c:extLst>
              <c:ext xmlns:c16="http://schemas.microsoft.com/office/drawing/2014/chart" uri="{C3380CC4-5D6E-409C-BE32-E72D297353CC}">
                <c16:uniqueId val="{00000015-37F9-40EA-A76B-0D54D13FE724}"/>
              </c:ext>
            </c:extLst>
          </c:dPt>
          <c:dPt>
            <c:idx val="11"/>
            <c:marker>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c:spPr>
            </c:marker>
            <c:bubble3D val="0"/>
            <c:spPr>
              <a:ln w="25400" cap="rnd">
                <a:noFill/>
                <a:round/>
              </a:ln>
              <a:effectLst/>
            </c:spPr>
            <c:extLst>
              <c:ext xmlns:c16="http://schemas.microsoft.com/office/drawing/2014/chart" uri="{C3380CC4-5D6E-409C-BE32-E72D297353CC}">
                <c16:uniqueId val="{00000017-37F9-40EA-A76B-0D54D13FE724}"/>
              </c:ext>
            </c:extLst>
          </c:dPt>
          <c:dPt>
            <c:idx val="12"/>
            <c:marker>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019-37F9-40EA-A76B-0D54D13FE724}"/>
              </c:ext>
            </c:extLst>
          </c:dPt>
          <c:dPt>
            <c:idx val="13"/>
            <c:marker>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01B-37F9-40EA-A76B-0D54D13FE724}"/>
              </c:ext>
            </c:extLst>
          </c:dPt>
          <c:dPt>
            <c:idx val="14"/>
            <c:marker>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01D-37F9-40EA-A76B-0D54D13FE724}"/>
              </c:ext>
            </c:extLst>
          </c:dPt>
          <c:dPt>
            <c:idx val="15"/>
            <c:marker>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01F-37F9-40EA-A76B-0D54D13FE724}"/>
              </c:ext>
            </c:extLst>
          </c:dPt>
          <c:dPt>
            <c:idx val="16"/>
            <c:marker>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021-37F9-40EA-A76B-0D54D13FE724}"/>
              </c:ext>
            </c:extLst>
          </c:dPt>
          <c:dPt>
            <c:idx val="17"/>
            <c:marker>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023-37F9-40EA-A76B-0D54D13FE724}"/>
              </c:ext>
            </c:extLst>
          </c:dPt>
          <c:dPt>
            <c:idx val="18"/>
            <c:marker>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c:spPr>
            </c:marker>
            <c:bubble3D val="0"/>
            <c:spPr>
              <a:ln w="25400" cap="rnd">
                <a:noFill/>
                <a:round/>
              </a:ln>
              <a:effectLst/>
            </c:spPr>
            <c:extLst>
              <c:ext xmlns:c16="http://schemas.microsoft.com/office/drawing/2014/chart" uri="{C3380CC4-5D6E-409C-BE32-E72D297353CC}">
                <c16:uniqueId val="{00000025-37F9-40EA-A76B-0D54D13FE724}"/>
              </c:ext>
            </c:extLst>
          </c:dPt>
          <c:dPt>
            <c:idx val="19"/>
            <c:marker>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c:spPr>
            </c:marker>
            <c:bubble3D val="0"/>
            <c:spPr>
              <a:ln w="25400" cap="rnd">
                <a:noFill/>
                <a:round/>
              </a:ln>
              <a:effectLst/>
            </c:spPr>
            <c:extLst>
              <c:ext xmlns:c16="http://schemas.microsoft.com/office/drawing/2014/chart" uri="{C3380CC4-5D6E-409C-BE32-E72D297353CC}">
                <c16:uniqueId val="{00000027-37F9-40EA-A76B-0D54D13FE724}"/>
              </c:ext>
            </c:extLst>
          </c:dPt>
          <c:dPt>
            <c:idx val="20"/>
            <c:marker>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c:spPr>
            </c:marker>
            <c:bubble3D val="0"/>
            <c:spPr>
              <a:ln w="25400" cap="rnd">
                <a:noFill/>
                <a:round/>
              </a:ln>
              <a:effectLst/>
            </c:spPr>
            <c:extLst>
              <c:ext xmlns:c16="http://schemas.microsoft.com/office/drawing/2014/chart" uri="{C3380CC4-5D6E-409C-BE32-E72D297353CC}">
                <c16:uniqueId val="{00000029-37F9-40EA-A76B-0D54D13FE724}"/>
              </c:ext>
            </c:extLst>
          </c:dPt>
          <c:dPt>
            <c:idx val="21"/>
            <c:marker>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c:spPr>
            </c:marker>
            <c:bubble3D val="0"/>
            <c:spPr>
              <a:ln w="25400" cap="rnd">
                <a:noFill/>
                <a:round/>
              </a:ln>
              <a:effectLst/>
            </c:spPr>
            <c:extLst>
              <c:ext xmlns:c16="http://schemas.microsoft.com/office/drawing/2014/chart" uri="{C3380CC4-5D6E-409C-BE32-E72D297353CC}">
                <c16:uniqueId val="{0000002B-37F9-40EA-A76B-0D54D13FE724}"/>
              </c:ext>
            </c:extLst>
          </c:dPt>
          <c:dPt>
            <c:idx val="22"/>
            <c:marker>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c:spPr>
            </c:marker>
            <c:bubble3D val="0"/>
            <c:spPr>
              <a:ln w="25400" cap="rnd">
                <a:noFill/>
                <a:round/>
              </a:ln>
              <a:effectLst/>
            </c:spPr>
            <c:extLst>
              <c:ext xmlns:c16="http://schemas.microsoft.com/office/drawing/2014/chart" uri="{C3380CC4-5D6E-409C-BE32-E72D297353CC}">
                <c16:uniqueId val="{0000002D-37F9-40EA-A76B-0D54D13FE724}"/>
              </c:ext>
            </c:extLst>
          </c:dPt>
          <c:dPt>
            <c:idx val="23"/>
            <c:marker>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c:spPr>
            </c:marker>
            <c:bubble3D val="0"/>
            <c:spPr>
              <a:ln w="25400" cap="rnd">
                <a:noFill/>
                <a:round/>
              </a:ln>
              <a:effectLst/>
            </c:spPr>
            <c:extLst>
              <c:ext xmlns:c16="http://schemas.microsoft.com/office/drawing/2014/chart" uri="{C3380CC4-5D6E-409C-BE32-E72D297353CC}">
                <c16:uniqueId val="{0000002F-37F9-40EA-A76B-0D54D13FE724}"/>
              </c:ext>
            </c:extLst>
          </c:dPt>
          <c:dPt>
            <c:idx val="24"/>
            <c:marker>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031-37F9-40EA-A76B-0D54D13FE724}"/>
              </c:ext>
            </c:extLst>
          </c:dPt>
          <c:dPt>
            <c:idx val="25"/>
            <c:marker>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a:solidFill>
                    <a:schemeClr val="accent2">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033-37F9-40EA-A76B-0D54D13FE724}"/>
              </c:ext>
            </c:extLst>
          </c:dPt>
          <c:dPt>
            <c:idx val="26"/>
            <c:marker>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9525">
                  <a:solidFill>
                    <a:schemeClr val="accent3">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035-37F9-40EA-A76B-0D54D13FE724}"/>
              </c:ext>
            </c:extLst>
          </c:dPt>
          <c:dPt>
            <c:idx val="27"/>
            <c:marker>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9525">
                  <a:solidFill>
                    <a:schemeClr val="accent4">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037-37F9-40EA-A76B-0D54D13FE724}"/>
              </c:ext>
            </c:extLst>
          </c:dPt>
          <c:dPt>
            <c:idx val="28"/>
            <c:marker>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9525">
                  <a:solidFill>
                    <a:schemeClr val="accent5">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039-37F9-40EA-A76B-0D54D13FE724}"/>
              </c:ext>
            </c:extLst>
          </c:dPt>
          <c:dPt>
            <c:idx val="29"/>
            <c:marker>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w="9525">
                  <a:solidFill>
                    <a:schemeClr val="accent6">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03B-37F9-40EA-A76B-0D54D13FE724}"/>
              </c:ext>
            </c:extLst>
          </c:dPt>
          <c:dPt>
            <c:idx val="30"/>
            <c:marker>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w="9525">
                  <a:solidFill>
                    <a:schemeClr val="accent1">
                      <a:lumMod val="50000"/>
                    </a:schemeClr>
                  </a:solidFill>
                  <a:round/>
                </a:ln>
                <a:effectLst/>
              </c:spPr>
            </c:marker>
            <c:bubble3D val="0"/>
            <c:spPr>
              <a:ln w="25400" cap="rnd">
                <a:noFill/>
                <a:round/>
              </a:ln>
              <a:effectLst/>
            </c:spPr>
            <c:extLst>
              <c:ext xmlns:c16="http://schemas.microsoft.com/office/drawing/2014/chart" uri="{C3380CC4-5D6E-409C-BE32-E72D297353CC}">
                <c16:uniqueId val="{0000003D-37F9-40EA-A76B-0D54D13FE724}"/>
              </c:ext>
            </c:extLst>
          </c:dPt>
          <c:dPt>
            <c:idx val="31"/>
            <c:marker>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w="9525">
                  <a:solidFill>
                    <a:schemeClr val="accent2">
                      <a:lumMod val="50000"/>
                    </a:schemeClr>
                  </a:solidFill>
                  <a:round/>
                </a:ln>
                <a:effectLst/>
              </c:spPr>
            </c:marker>
            <c:bubble3D val="0"/>
            <c:spPr>
              <a:ln w="25400" cap="rnd">
                <a:noFill/>
                <a:round/>
              </a:ln>
              <a:effectLst/>
            </c:spPr>
            <c:extLst>
              <c:ext xmlns:c16="http://schemas.microsoft.com/office/drawing/2014/chart" uri="{C3380CC4-5D6E-409C-BE32-E72D297353CC}">
                <c16:uniqueId val="{0000003F-37F9-40EA-A76B-0D54D13FE724}"/>
              </c:ext>
            </c:extLst>
          </c:dPt>
          <c:dPt>
            <c:idx val="32"/>
            <c:marker>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w="9525">
                  <a:solidFill>
                    <a:schemeClr val="accent3">
                      <a:lumMod val="50000"/>
                    </a:schemeClr>
                  </a:solidFill>
                  <a:round/>
                </a:ln>
                <a:effectLst/>
              </c:spPr>
            </c:marker>
            <c:bubble3D val="0"/>
            <c:spPr>
              <a:ln w="25400" cap="rnd">
                <a:noFill/>
                <a:round/>
              </a:ln>
              <a:effectLst/>
            </c:spPr>
            <c:extLst>
              <c:ext xmlns:c16="http://schemas.microsoft.com/office/drawing/2014/chart" uri="{C3380CC4-5D6E-409C-BE32-E72D297353CC}">
                <c16:uniqueId val="{00000041-37F9-40EA-A76B-0D54D13FE724}"/>
              </c:ext>
            </c:extLst>
          </c:dPt>
          <c:dPt>
            <c:idx val="33"/>
            <c:marker>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w="9525">
                  <a:solidFill>
                    <a:schemeClr val="accent4">
                      <a:lumMod val="50000"/>
                    </a:schemeClr>
                  </a:solidFill>
                  <a:round/>
                </a:ln>
                <a:effectLst/>
              </c:spPr>
            </c:marker>
            <c:bubble3D val="0"/>
            <c:spPr>
              <a:ln w="25400" cap="rnd">
                <a:noFill/>
                <a:round/>
              </a:ln>
              <a:effectLst/>
            </c:spPr>
            <c:extLst>
              <c:ext xmlns:c16="http://schemas.microsoft.com/office/drawing/2014/chart" uri="{C3380CC4-5D6E-409C-BE32-E72D297353CC}">
                <c16:uniqueId val="{00000043-37F9-40EA-A76B-0D54D13FE724}"/>
              </c:ext>
            </c:extLst>
          </c:dPt>
          <c:dPt>
            <c:idx val="34"/>
            <c:marker>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w="9525">
                  <a:solidFill>
                    <a:schemeClr val="accent5">
                      <a:lumMod val="50000"/>
                    </a:schemeClr>
                  </a:solidFill>
                  <a:round/>
                </a:ln>
                <a:effectLst/>
              </c:spPr>
            </c:marker>
            <c:bubble3D val="0"/>
            <c:spPr>
              <a:ln w="25400" cap="rnd">
                <a:noFill/>
                <a:round/>
              </a:ln>
              <a:effectLst/>
            </c:spPr>
            <c:extLst>
              <c:ext xmlns:c16="http://schemas.microsoft.com/office/drawing/2014/chart" uri="{C3380CC4-5D6E-409C-BE32-E72D297353CC}">
                <c16:uniqueId val="{00000045-37F9-40EA-A76B-0D54D13FE724}"/>
              </c:ext>
            </c:extLst>
          </c:dPt>
          <c:dPt>
            <c:idx val="35"/>
            <c:marker>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w="9525">
                  <a:solidFill>
                    <a:schemeClr val="accent6">
                      <a:lumMod val="50000"/>
                    </a:schemeClr>
                  </a:solidFill>
                  <a:round/>
                </a:ln>
                <a:effectLst/>
              </c:spPr>
            </c:marker>
            <c:bubble3D val="0"/>
            <c:spPr>
              <a:ln w="25400" cap="rnd">
                <a:noFill/>
                <a:round/>
              </a:ln>
              <a:effectLst/>
            </c:spPr>
            <c:extLst>
              <c:ext xmlns:c16="http://schemas.microsoft.com/office/drawing/2014/chart" uri="{C3380CC4-5D6E-409C-BE32-E72D297353CC}">
                <c16:uniqueId val="{00000047-37F9-40EA-A76B-0D54D13FE724}"/>
              </c:ext>
            </c:extLst>
          </c:dPt>
          <c:dPt>
            <c:idx val="36"/>
            <c:marker>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w="9525">
                  <a:solidFill>
                    <a:schemeClr val="accent1">
                      <a:lumMod val="70000"/>
                      <a:lumOff val="30000"/>
                    </a:schemeClr>
                  </a:solidFill>
                  <a:round/>
                </a:ln>
                <a:effectLst/>
              </c:spPr>
            </c:marker>
            <c:bubble3D val="0"/>
            <c:spPr>
              <a:ln w="25400" cap="rnd">
                <a:noFill/>
                <a:round/>
              </a:ln>
              <a:effectLst/>
            </c:spPr>
            <c:extLst>
              <c:ext xmlns:c16="http://schemas.microsoft.com/office/drawing/2014/chart" uri="{C3380CC4-5D6E-409C-BE32-E72D297353CC}">
                <c16:uniqueId val="{00000049-37F9-40EA-A76B-0D54D13FE724}"/>
              </c:ext>
            </c:extLst>
          </c:dPt>
          <c:dPt>
            <c:idx val="37"/>
            <c:marker>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w="9525">
                  <a:solidFill>
                    <a:schemeClr val="accent2">
                      <a:lumMod val="70000"/>
                      <a:lumOff val="30000"/>
                    </a:schemeClr>
                  </a:solidFill>
                  <a:round/>
                </a:ln>
                <a:effectLst/>
              </c:spPr>
            </c:marker>
            <c:bubble3D val="0"/>
            <c:spPr>
              <a:ln w="25400" cap="rnd">
                <a:noFill/>
                <a:round/>
              </a:ln>
              <a:effectLst/>
            </c:spPr>
            <c:extLst>
              <c:ext xmlns:c16="http://schemas.microsoft.com/office/drawing/2014/chart" uri="{C3380CC4-5D6E-409C-BE32-E72D297353CC}">
                <c16:uniqueId val="{0000004B-37F9-40EA-A76B-0D54D13FE724}"/>
              </c:ext>
            </c:extLst>
          </c:dPt>
          <c:dPt>
            <c:idx val="38"/>
            <c:marker>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w="9525">
                  <a:solidFill>
                    <a:schemeClr val="accent3">
                      <a:lumMod val="70000"/>
                      <a:lumOff val="30000"/>
                    </a:schemeClr>
                  </a:solidFill>
                  <a:round/>
                </a:ln>
                <a:effectLst/>
              </c:spPr>
            </c:marker>
            <c:bubble3D val="0"/>
            <c:spPr>
              <a:ln w="25400" cap="rnd">
                <a:noFill/>
                <a:round/>
              </a:ln>
              <a:effectLst/>
            </c:spPr>
            <c:extLst>
              <c:ext xmlns:c16="http://schemas.microsoft.com/office/drawing/2014/chart" uri="{C3380CC4-5D6E-409C-BE32-E72D297353CC}">
                <c16:uniqueId val="{0000004D-37F9-40EA-A76B-0D54D13FE724}"/>
              </c:ext>
            </c:extLst>
          </c:dPt>
          <c:dPt>
            <c:idx val="39"/>
            <c:marker>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w="9525">
                  <a:solidFill>
                    <a:schemeClr val="accent4">
                      <a:lumMod val="70000"/>
                      <a:lumOff val="30000"/>
                    </a:schemeClr>
                  </a:solidFill>
                  <a:round/>
                </a:ln>
                <a:effectLst/>
              </c:spPr>
            </c:marker>
            <c:bubble3D val="0"/>
            <c:spPr>
              <a:ln w="25400" cap="rnd">
                <a:noFill/>
                <a:round/>
              </a:ln>
              <a:effectLst/>
            </c:spPr>
            <c:extLst>
              <c:ext xmlns:c16="http://schemas.microsoft.com/office/drawing/2014/chart" uri="{C3380CC4-5D6E-409C-BE32-E72D297353CC}">
                <c16:uniqueId val="{0000004F-37F9-40EA-A76B-0D54D13FE724}"/>
              </c:ext>
            </c:extLst>
          </c:dPt>
          <c:dPt>
            <c:idx val="40"/>
            <c:marker>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w="9525">
                  <a:solidFill>
                    <a:schemeClr val="accent5">
                      <a:lumMod val="70000"/>
                      <a:lumOff val="30000"/>
                    </a:schemeClr>
                  </a:solidFill>
                  <a:round/>
                </a:ln>
                <a:effectLst/>
              </c:spPr>
            </c:marker>
            <c:bubble3D val="0"/>
            <c:spPr>
              <a:ln w="25400" cap="rnd">
                <a:noFill/>
                <a:round/>
              </a:ln>
              <a:effectLst/>
            </c:spPr>
            <c:extLst>
              <c:ext xmlns:c16="http://schemas.microsoft.com/office/drawing/2014/chart" uri="{C3380CC4-5D6E-409C-BE32-E72D297353CC}">
                <c16:uniqueId val="{00000051-37F9-40EA-A76B-0D54D13FE724}"/>
              </c:ext>
            </c:extLst>
          </c:dPt>
          <c:dPt>
            <c:idx val="41"/>
            <c:marker>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w="9525">
                  <a:solidFill>
                    <a:schemeClr val="accent6">
                      <a:lumMod val="70000"/>
                      <a:lumOff val="30000"/>
                    </a:schemeClr>
                  </a:solidFill>
                  <a:round/>
                </a:ln>
                <a:effectLst/>
              </c:spPr>
            </c:marker>
            <c:bubble3D val="0"/>
            <c:spPr>
              <a:ln w="25400" cap="rnd">
                <a:noFill/>
                <a:round/>
              </a:ln>
              <a:effectLst/>
            </c:spPr>
            <c:extLst>
              <c:ext xmlns:c16="http://schemas.microsoft.com/office/drawing/2014/chart" uri="{C3380CC4-5D6E-409C-BE32-E72D297353CC}">
                <c16:uniqueId val="{00000053-37F9-40EA-A76B-0D54D13FE724}"/>
              </c:ext>
            </c:extLst>
          </c:dPt>
          <c:dPt>
            <c:idx val="42"/>
            <c:marker>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w="9525">
                  <a:solidFill>
                    <a:schemeClr val="accent1">
                      <a:lumMod val="70000"/>
                    </a:schemeClr>
                  </a:solidFill>
                  <a:round/>
                </a:ln>
                <a:effectLst/>
              </c:spPr>
            </c:marker>
            <c:bubble3D val="0"/>
            <c:spPr>
              <a:ln w="25400" cap="rnd">
                <a:noFill/>
                <a:round/>
              </a:ln>
              <a:effectLst/>
            </c:spPr>
            <c:extLst>
              <c:ext xmlns:c16="http://schemas.microsoft.com/office/drawing/2014/chart" uri="{C3380CC4-5D6E-409C-BE32-E72D297353CC}">
                <c16:uniqueId val="{00000055-37F9-40EA-A76B-0D54D13FE724}"/>
              </c:ext>
            </c:extLst>
          </c:dPt>
          <c:dPt>
            <c:idx val="43"/>
            <c:marker>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w="9525">
                  <a:solidFill>
                    <a:schemeClr val="accent2">
                      <a:lumMod val="70000"/>
                    </a:schemeClr>
                  </a:solidFill>
                  <a:round/>
                </a:ln>
                <a:effectLst/>
              </c:spPr>
            </c:marker>
            <c:bubble3D val="0"/>
            <c:spPr>
              <a:ln w="25400" cap="rnd">
                <a:noFill/>
                <a:round/>
              </a:ln>
              <a:effectLst/>
            </c:spPr>
            <c:extLst>
              <c:ext xmlns:c16="http://schemas.microsoft.com/office/drawing/2014/chart" uri="{C3380CC4-5D6E-409C-BE32-E72D297353CC}">
                <c16:uniqueId val="{00000057-37F9-40EA-A76B-0D54D13FE724}"/>
              </c:ext>
            </c:extLst>
          </c:dPt>
          <c:dPt>
            <c:idx val="44"/>
            <c:marker>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w="9525">
                  <a:solidFill>
                    <a:schemeClr val="accent3">
                      <a:lumMod val="70000"/>
                    </a:schemeClr>
                  </a:solidFill>
                  <a:round/>
                </a:ln>
                <a:effectLst/>
              </c:spPr>
            </c:marker>
            <c:bubble3D val="0"/>
            <c:spPr>
              <a:ln w="25400" cap="rnd">
                <a:noFill/>
                <a:round/>
              </a:ln>
              <a:effectLst/>
            </c:spPr>
            <c:extLst>
              <c:ext xmlns:c16="http://schemas.microsoft.com/office/drawing/2014/chart" uri="{C3380CC4-5D6E-409C-BE32-E72D297353CC}">
                <c16:uniqueId val="{00000059-37F9-40EA-A76B-0D54D13FE724}"/>
              </c:ext>
            </c:extLst>
          </c:dPt>
          <c:dPt>
            <c:idx val="45"/>
            <c:marker>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w="9525">
                  <a:solidFill>
                    <a:schemeClr val="accent4">
                      <a:lumMod val="70000"/>
                    </a:schemeClr>
                  </a:solidFill>
                  <a:round/>
                </a:ln>
                <a:effectLst/>
              </c:spPr>
            </c:marker>
            <c:bubble3D val="0"/>
            <c:spPr>
              <a:ln w="25400" cap="rnd">
                <a:noFill/>
                <a:round/>
              </a:ln>
              <a:effectLst/>
            </c:spPr>
            <c:extLst>
              <c:ext xmlns:c16="http://schemas.microsoft.com/office/drawing/2014/chart" uri="{C3380CC4-5D6E-409C-BE32-E72D297353CC}">
                <c16:uniqueId val="{0000005B-37F9-40EA-A76B-0D54D13FE724}"/>
              </c:ext>
            </c:extLst>
          </c:dPt>
          <c:dPt>
            <c:idx val="46"/>
            <c:marker>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w="9525">
                  <a:solidFill>
                    <a:schemeClr val="accent5">
                      <a:lumMod val="70000"/>
                    </a:schemeClr>
                  </a:solidFill>
                  <a:round/>
                </a:ln>
                <a:effectLst/>
              </c:spPr>
            </c:marker>
            <c:bubble3D val="0"/>
            <c:spPr>
              <a:ln w="25400" cap="rnd">
                <a:noFill/>
                <a:round/>
              </a:ln>
              <a:effectLst/>
            </c:spPr>
            <c:extLst>
              <c:ext xmlns:c16="http://schemas.microsoft.com/office/drawing/2014/chart" uri="{C3380CC4-5D6E-409C-BE32-E72D297353CC}">
                <c16:uniqueId val="{0000005D-37F9-40EA-A76B-0D54D13FE724}"/>
              </c:ext>
            </c:extLst>
          </c:dPt>
          <c:dPt>
            <c:idx val="47"/>
            <c:marker>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w="9525">
                  <a:solidFill>
                    <a:schemeClr val="accent6">
                      <a:lumMod val="70000"/>
                    </a:schemeClr>
                  </a:solidFill>
                  <a:round/>
                </a:ln>
                <a:effectLst/>
              </c:spPr>
            </c:marker>
            <c:bubble3D val="0"/>
            <c:spPr>
              <a:ln w="25400" cap="rnd">
                <a:noFill/>
                <a:round/>
              </a:ln>
              <a:effectLst/>
            </c:spPr>
            <c:extLst>
              <c:ext xmlns:c16="http://schemas.microsoft.com/office/drawing/2014/chart" uri="{C3380CC4-5D6E-409C-BE32-E72D297353CC}">
                <c16:uniqueId val="{0000005F-37F9-40EA-A76B-0D54D13FE724}"/>
              </c:ext>
            </c:extLst>
          </c:dPt>
          <c:dPt>
            <c:idx val="48"/>
            <c:marker>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w="9525">
                  <a:solidFill>
                    <a:schemeClr val="accent1">
                      <a:lumMod val="50000"/>
                      <a:lumOff val="50000"/>
                    </a:schemeClr>
                  </a:solidFill>
                  <a:round/>
                </a:ln>
                <a:effectLst/>
              </c:spPr>
            </c:marker>
            <c:bubble3D val="0"/>
            <c:spPr>
              <a:ln w="25400" cap="rnd">
                <a:noFill/>
                <a:round/>
              </a:ln>
              <a:effectLst/>
            </c:spPr>
            <c:extLst>
              <c:ext xmlns:c16="http://schemas.microsoft.com/office/drawing/2014/chart" uri="{C3380CC4-5D6E-409C-BE32-E72D297353CC}">
                <c16:uniqueId val="{00000061-37F9-40EA-A76B-0D54D13FE724}"/>
              </c:ext>
            </c:extLst>
          </c:dPt>
          <c:dPt>
            <c:idx val="49"/>
            <c:marker>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w="9525">
                  <a:solidFill>
                    <a:schemeClr val="accent2">
                      <a:lumMod val="50000"/>
                      <a:lumOff val="50000"/>
                    </a:schemeClr>
                  </a:solidFill>
                  <a:round/>
                </a:ln>
                <a:effectLst/>
              </c:spPr>
            </c:marker>
            <c:bubble3D val="0"/>
            <c:spPr>
              <a:ln w="25400" cap="rnd">
                <a:noFill/>
                <a:round/>
              </a:ln>
              <a:effectLst/>
            </c:spPr>
            <c:extLst>
              <c:ext xmlns:c16="http://schemas.microsoft.com/office/drawing/2014/chart" uri="{C3380CC4-5D6E-409C-BE32-E72D297353CC}">
                <c16:uniqueId val="{00000063-37F9-40EA-A76B-0D54D13FE724}"/>
              </c:ext>
            </c:extLst>
          </c:dPt>
          <c:dPt>
            <c:idx val="50"/>
            <c:marker>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w="9525">
                  <a:solidFill>
                    <a:schemeClr val="accent3">
                      <a:lumMod val="50000"/>
                      <a:lumOff val="50000"/>
                    </a:schemeClr>
                  </a:solidFill>
                  <a:round/>
                </a:ln>
                <a:effectLst/>
              </c:spPr>
            </c:marker>
            <c:bubble3D val="0"/>
            <c:spPr>
              <a:ln w="25400" cap="rnd">
                <a:noFill/>
                <a:round/>
              </a:ln>
              <a:effectLst/>
            </c:spPr>
            <c:extLst>
              <c:ext xmlns:c16="http://schemas.microsoft.com/office/drawing/2014/chart" uri="{C3380CC4-5D6E-409C-BE32-E72D297353CC}">
                <c16:uniqueId val="{00000065-37F9-40EA-A76B-0D54D13FE724}"/>
              </c:ext>
            </c:extLst>
          </c:dPt>
          <c:dPt>
            <c:idx val="51"/>
            <c:marker>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w="9525">
                  <a:solidFill>
                    <a:schemeClr val="accent4">
                      <a:lumMod val="50000"/>
                      <a:lumOff val="50000"/>
                    </a:schemeClr>
                  </a:solidFill>
                  <a:round/>
                </a:ln>
                <a:effectLst/>
              </c:spPr>
            </c:marker>
            <c:bubble3D val="0"/>
            <c:spPr>
              <a:ln w="25400" cap="rnd">
                <a:noFill/>
                <a:round/>
              </a:ln>
              <a:effectLst/>
            </c:spPr>
            <c:extLst>
              <c:ext xmlns:c16="http://schemas.microsoft.com/office/drawing/2014/chart" uri="{C3380CC4-5D6E-409C-BE32-E72D297353CC}">
                <c16:uniqueId val="{00000067-37F9-40EA-A76B-0D54D13FE724}"/>
              </c:ext>
            </c:extLst>
          </c:dPt>
          <c:dPt>
            <c:idx val="52"/>
            <c:marker>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w="9525">
                  <a:solidFill>
                    <a:schemeClr val="accent5">
                      <a:lumMod val="50000"/>
                      <a:lumOff val="50000"/>
                    </a:schemeClr>
                  </a:solidFill>
                  <a:round/>
                </a:ln>
                <a:effectLst/>
              </c:spPr>
            </c:marker>
            <c:bubble3D val="0"/>
            <c:spPr>
              <a:ln w="25400" cap="rnd">
                <a:noFill/>
                <a:round/>
              </a:ln>
              <a:effectLst/>
            </c:spPr>
            <c:extLst>
              <c:ext xmlns:c16="http://schemas.microsoft.com/office/drawing/2014/chart" uri="{C3380CC4-5D6E-409C-BE32-E72D297353CC}">
                <c16:uniqueId val="{00000069-37F9-40EA-A76B-0D54D13FE724}"/>
              </c:ext>
            </c:extLst>
          </c:dPt>
          <c:dPt>
            <c:idx val="53"/>
            <c:marker>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w="9525">
                  <a:solidFill>
                    <a:schemeClr val="accent6">
                      <a:lumMod val="50000"/>
                      <a:lumOff val="50000"/>
                    </a:schemeClr>
                  </a:solidFill>
                  <a:round/>
                </a:ln>
                <a:effectLst/>
              </c:spPr>
            </c:marker>
            <c:bubble3D val="0"/>
            <c:spPr>
              <a:ln w="25400" cap="rnd">
                <a:noFill/>
                <a:round/>
              </a:ln>
              <a:effectLst/>
            </c:spPr>
            <c:extLst>
              <c:ext xmlns:c16="http://schemas.microsoft.com/office/drawing/2014/chart" uri="{C3380CC4-5D6E-409C-BE32-E72D297353CC}">
                <c16:uniqueId val="{0000006B-37F9-40EA-A76B-0D54D13FE724}"/>
              </c:ext>
            </c:extLst>
          </c:dPt>
          <c:dPt>
            <c:idx val="54"/>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bubble3D val="0"/>
            <c:spPr>
              <a:ln w="25400" cap="rnd">
                <a:noFill/>
                <a:round/>
              </a:ln>
              <a:effectLst/>
            </c:spPr>
            <c:extLst>
              <c:ext xmlns:c16="http://schemas.microsoft.com/office/drawing/2014/chart" uri="{C3380CC4-5D6E-409C-BE32-E72D297353CC}">
                <c16:uniqueId val="{0000006D-37F9-40EA-A76B-0D54D13FE724}"/>
              </c:ext>
            </c:extLst>
          </c:dPt>
          <c:dPt>
            <c:idx val="55"/>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bubble3D val="0"/>
            <c:spPr>
              <a:ln w="25400" cap="rnd">
                <a:noFill/>
                <a:round/>
              </a:ln>
              <a:effectLst/>
            </c:spPr>
            <c:extLst>
              <c:ext xmlns:c16="http://schemas.microsoft.com/office/drawing/2014/chart" uri="{C3380CC4-5D6E-409C-BE32-E72D297353CC}">
                <c16:uniqueId val="{0000006F-37F9-40EA-A76B-0D54D13FE724}"/>
              </c:ext>
            </c:extLst>
          </c:dPt>
          <c:dPt>
            <c:idx val="56"/>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c:spPr>
            </c:marker>
            <c:bubble3D val="0"/>
            <c:spPr>
              <a:ln w="25400" cap="rnd">
                <a:noFill/>
                <a:round/>
              </a:ln>
              <a:effectLst/>
            </c:spPr>
            <c:extLst>
              <c:ext xmlns:c16="http://schemas.microsoft.com/office/drawing/2014/chart" uri="{C3380CC4-5D6E-409C-BE32-E72D297353CC}">
                <c16:uniqueId val="{00000071-37F9-40EA-A76B-0D54D13FE724}"/>
              </c:ext>
            </c:extLst>
          </c:dPt>
          <c:dPt>
            <c:idx val="57"/>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c:spPr>
            </c:marker>
            <c:bubble3D val="0"/>
            <c:spPr>
              <a:ln w="25400" cap="rnd">
                <a:noFill/>
                <a:round/>
              </a:ln>
              <a:effectLst/>
            </c:spPr>
            <c:extLst>
              <c:ext xmlns:c16="http://schemas.microsoft.com/office/drawing/2014/chart" uri="{C3380CC4-5D6E-409C-BE32-E72D297353CC}">
                <c16:uniqueId val="{00000073-37F9-40EA-A76B-0D54D13FE724}"/>
              </c:ext>
            </c:extLst>
          </c:dPt>
          <c:dPt>
            <c:idx val="58"/>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c:spPr>
            </c:marker>
            <c:bubble3D val="0"/>
            <c:spPr>
              <a:ln w="25400" cap="rnd">
                <a:noFill/>
                <a:round/>
              </a:ln>
              <a:effectLst/>
            </c:spPr>
            <c:extLst>
              <c:ext xmlns:c16="http://schemas.microsoft.com/office/drawing/2014/chart" uri="{C3380CC4-5D6E-409C-BE32-E72D297353CC}">
                <c16:uniqueId val="{00000075-37F9-40EA-A76B-0D54D13FE724}"/>
              </c:ext>
            </c:extLst>
          </c:dPt>
          <c:dPt>
            <c:idx val="59"/>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bubble3D val="0"/>
            <c:spPr>
              <a:ln w="25400" cap="rnd">
                <a:noFill/>
                <a:round/>
              </a:ln>
              <a:effectLst/>
            </c:spPr>
            <c:extLst>
              <c:ext xmlns:c16="http://schemas.microsoft.com/office/drawing/2014/chart" uri="{C3380CC4-5D6E-409C-BE32-E72D297353CC}">
                <c16:uniqueId val="{00000077-37F9-40EA-A76B-0D54D13FE724}"/>
              </c:ext>
            </c:extLst>
          </c:dPt>
          <c:dPt>
            <c:idx val="60"/>
            <c:marker>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c:spPr>
            </c:marker>
            <c:bubble3D val="0"/>
            <c:spPr>
              <a:ln w="25400" cap="rnd">
                <a:noFill/>
                <a:round/>
              </a:ln>
              <a:effectLst/>
            </c:spPr>
            <c:extLst>
              <c:ext xmlns:c16="http://schemas.microsoft.com/office/drawing/2014/chart" uri="{C3380CC4-5D6E-409C-BE32-E72D297353CC}">
                <c16:uniqueId val="{00000079-37F9-40EA-A76B-0D54D13FE724}"/>
              </c:ext>
            </c:extLst>
          </c:dPt>
          <c:dPt>
            <c:idx val="61"/>
            <c:marker>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c:spPr>
            </c:marker>
            <c:bubble3D val="0"/>
            <c:spPr>
              <a:ln w="25400" cap="rnd">
                <a:noFill/>
                <a:round/>
              </a:ln>
              <a:effectLst/>
            </c:spPr>
            <c:extLst>
              <c:ext xmlns:c16="http://schemas.microsoft.com/office/drawing/2014/chart" uri="{C3380CC4-5D6E-409C-BE32-E72D297353CC}">
                <c16:uniqueId val="{0000007B-37F9-40EA-A76B-0D54D13FE724}"/>
              </c:ext>
            </c:extLst>
          </c:dPt>
          <c:dPt>
            <c:idx val="62"/>
            <c:marker>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c:spPr>
            </c:marker>
            <c:bubble3D val="0"/>
            <c:spPr>
              <a:ln w="25400" cap="rnd">
                <a:noFill/>
                <a:round/>
              </a:ln>
              <a:effectLst/>
            </c:spPr>
            <c:extLst>
              <c:ext xmlns:c16="http://schemas.microsoft.com/office/drawing/2014/chart" uri="{C3380CC4-5D6E-409C-BE32-E72D297353CC}">
                <c16:uniqueId val="{0000007D-37F9-40EA-A76B-0D54D13FE724}"/>
              </c:ext>
            </c:extLst>
          </c:dPt>
          <c:dPt>
            <c:idx val="63"/>
            <c:marker>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c:spPr>
            </c:marker>
            <c:bubble3D val="0"/>
            <c:spPr>
              <a:ln w="25400" cap="rnd">
                <a:noFill/>
                <a:round/>
              </a:ln>
              <a:effectLst/>
            </c:spPr>
            <c:extLst>
              <c:ext xmlns:c16="http://schemas.microsoft.com/office/drawing/2014/chart" uri="{C3380CC4-5D6E-409C-BE32-E72D297353CC}">
                <c16:uniqueId val="{0000007F-37F9-40EA-A76B-0D54D13FE724}"/>
              </c:ext>
            </c:extLst>
          </c:dPt>
          <c:dPt>
            <c:idx val="64"/>
            <c:marker>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c:spPr>
            </c:marker>
            <c:bubble3D val="0"/>
            <c:spPr>
              <a:ln w="25400" cap="rnd">
                <a:noFill/>
                <a:round/>
              </a:ln>
              <a:effectLst/>
            </c:spPr>
            <c:extLst>
              <c:ext xmlns:c16="http://schemas.microsoft.com/office/drawing/2014/chart" uri="{C3380CC4-5D6E-409C-BE32-E72D297353CC}">
                <c16:uniqueId val="{00000081-37F9-40EA-A76B-0D54D13FE724}"/>
              </c:ext>
            </c:extLst>
          </c:dPt>
          <c:dPt>
            <c:idx val="65"/>
            <c:marker>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c:spPr>
            </c:marker>
            <c:bubble3D val="0"/>
            <c:spPr>
              <a:ln w="25400" cap="rnd">
                <a:noFill/>
                <a:round/>
              </a:ln>
              <a:effectLst/>
            </c:spPr>
            <c:extLst>
              <c:ext xmlns:c16="http://schemas.microsoft.com/office/drawing/2014/chart" uri="{C3380CC4-5D6E-409C-BE32-E72D297353CC}">
                <c16:uniqueId val="{00000083-37F9-40EA-A76B-0D54D13FE724}"/>
              </c:ext>
            </c:extLst>
          </c:dPt>
          <c:dPt>
            <c:idx val="66"/>
            <c:marker>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085-37F9-40EA-A76B-0D54D13FE724}"/>
              </c:ext>
            </c:extLst>
          </c:dPt>
          <c:dPt>
            <c:idx val="67"/>
            <c:marker>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087-37F9-40EA-A76B-0D54D13FE724}"/>
              </c:ext>
            </c:extLst>
          </c:dPt>
          <c:dPt>
            <c:idx val="68"/>
            <c:marker>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089-37F9-40EA-A76B-0D54D13FE724}"/>
              </c:ext>
            </c:extLst>
          </c:dPt>
          <c:dPt>
            <c:idx val="69"/>
            <c:marker>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08B-37F9-40EA-A76B-0D54D13FE724}"/>
              </c:ext>
            </c:extLst>
          </c:dPt>
          <c:dPt>
            <c:idx val="70"/>
            <c:marker>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08D-37F9-40EA-A76B-0D54D13FE724}"/>
              </c:ext>
            </c:extLst>
          </c:dPt>
          <c:dPt>
            <c:idx val="71"/>
            <c:marker>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08F-37F9-40EA-A76B-0D54D13FE724}"/>
              </c:ext>
            </c:extLst>
          </c:dPt>
          <c:dPt>
            <c:idx val="72"/>
            <c:marker>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c:spPr>
            </c:marker>
            <c:bubble3D val="0"/>
            <c:spPr>
              <a:ln w="25400" cap="rnd">
                <a:noFill/>
                <a:round/>
              </a:ln>
              <a:effectLst/>
            </c:spPr>
            <c:extLst>
              <c:ext xmlns:c16="http://schemas.microsoft.com/office/drawing/2014/chart" uri="{C3380CC4-5D6E-409C-BE32-E72D297353CC}">
                <c16:uniqueId val="{00000091-37F9-40EA-A76B-0D54D13FE724}"/>
              </c:ext>
            </c:extLst>
          </c:dPt>
          <c:dPt>
            <c:idx val="73"/>
            <c:marker>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c:spPr>
            </c:marker>
            <c:bubble3D val="0"/>
            <c:spPr>
              <a:ln w="25400" cap="rnd">
                <a:noFill/>
                <a:round/>
              </a:ln>
              <a:effectLst/>
            </c:spPr>
            <c:extLst>
              <c:ext xmlns:c16="http://schemas.microsoft.com/office/drawing/2014/chart" uri="{C3380CC4-5D6E-409C-BE32-E72D297353CC}">
                <c16:uniqueId val="{00000093-37F9-40EA-A76B-0D54D13FE724}"/>
              </c:ext>
            </c:extLst>
          </c:dPt>
          <c:dPt>
            <c:idx val="74"/>
            <c:marker>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c:spPr>
            </c:marker>
            <c:bubble3D val="0"/>
            <c:spPr>
              <a:ln w="25400" cap="rnd">
                <a:noFill/>
                <a:round/>
              </a:ln>
              <a:effectLst/>
            </c:spPr>
            <c:extLst>
              <c:ext xmlns:c16="http://schemas.microsoft.com/office/drawing/2014/chart" uri="{C3380CC4-5D6E-409C-BE32-E72D297353CC}">
                <c16:uniqueId val="{00000095-37F9-40EA-A76B-0D54D13FE724}"/>
              </c:ext>
            </c:extLst>
          </c:dPt>
          <c:dPt>
            <c:idx val="75"/>
            <c:marker>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c:spPr>
            </c:marker>
            <c:bubble3D val="0"/>
            <c:spPr>
              <a:ln w="25400" cap="rnd">
                <a:noFill/>
                <a:round/>
              </a:ln>
              <a:effectLst/>
            </c:spPr>
            <c:extLst>
              <c:ext xmlns:c16="http://schemas.microsoft.com/office/drawing/2014/chart" uri="{C3380CC4-5D6E-409C-BE32-E72D297353CC}">
                <c16:uniqueId val="{00000097-37F9-40EA-A76B-0D54D13FE724}"/>
              </c:ext>
            </c:extLst>
          </c:dPt>
          <c:dPt>
            <c:idx val="76"/>
            <c:marker>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c:spPr>
            </c:marker>
            <c:bubble3D val="0"/>
            <c:spPr>
              <a:ln w="25400" cap="rnd">
                <a:noFill/>
                <a:round/>
              </a:ln>
              <a:effectLst/>
            </c:spPr>
            <c:extLst>
              <c:ext xmlns:c16="http://schemas.microsoft.com/office/drawing/2014/chart" uri="{C3380CC4-5D6E-409C-BE32-E72D297353CC}">
                <c16:uniqueId val="{00000099-37F9-40EA-A76B-0D54D13FE724}"/>
              </c:ext>
            </c:extLst>
          </c:dPt>
          <c:dPt>
            <c:idx val="77"/>
            <c:marker>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c:spPr>
            </c:marker>
            <c:bubble3D val="0"/>
            <c:spPr>
              <a:ln w="25400" cap="rnd">
                <a:noFill/>
                <a:round/>
              </a:ln>
              <a:effectLst/>
            </c:spPr>
            <c:extLst>
              <c:ext xmlns:c16="http://schemas.microsoft.com/office/drawing/2014/chart" uri="{C3380CC4-5D6E-409C-BE32-E72D297353CC}">
                <c16:uniqueId val="{0000009B-37F9-40EA-A76B-0D54D13FE724}"/>
              </c:ext>
            </c:extLst>
          </c:dPt>
          <c:dPt>
            <c:idx val="78"/>
            <c:marker>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09D-37F9-40EA-A76B-0D54D13FE724}"/>
              </c:ext>
            </c:extLst>
          </c:dPt>
          <c:dPt>
            <c:idx val="79"/>
            <c:marker>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a:solidFill>
                    <a:schemeClr val="accent2">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09F-37F9-40EA-A76B-0D54D13FE724}"/>
              </c:ext>
            </c:extLst>
          </c:dPt>
          <c:dPt>
            <c:idx val="80"/>
            <c:marker>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9525">
                  <a:solidFill>
                    <a:schemeClr val="accent3">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0A1-37F9-40EA-A76B-0D54D13FE724}"/>
              </c:ext>
            </c:extLst>
          </c:dPt>
          <c:dPt>
            <c:idx val="81"/>
            <c:marker>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9525">
                  <a:solidFill>
                    <a:schemeClr val="accent4">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0A3-37F9-40EA-A76B-0D54D13FE724}"/>
              </c:ext>
            </c:extLst>
          </c:dPt>
          <c:dPt>
            <c:idx val="82"/>
            <c:marker>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9525">
                  <a:solidFill>
                    <a:schemeClr val="accent5">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0A5-37F9-40EA-A76B-0D54D13FE724}"/>
              </c:ext>
            </c:extLst>
          </c:dPt>
          <c:dPt>
            <c:idx val="83"/>
            <c:marker>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w="9525">
                  <a:solidFill>
                    <a:schemeClr val="accent6">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0A7-37F9-40EA-A76B-0D54D13FE724}"/>
              </c:ext>
            </c:extLst>
          </c:dPt>
          <c:dPt>
            <c:idx val="84"/>
            <c:marker>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w="9525">
                  <a:solidFill>
                    <a:schemeClr val="accent1">
                      <a:lumMod val="50000"/>
                    </a:schemeClr>
                  </a:solidFill>
                  <a:round/>
                </a:ln>
                <a:effectLst/>
              </c:spPr>
            </c:marker>
            <c:bubble3D val="0"/>
            <c:spPr>
              <a:ln w="25400" cap="rnd">
                <a:noFill/>
                <a:round/>
              </a:ln>
              <a:effectLst/>
            </c:spPr>
            <c:extLst>
              <c:ext xmlns:c16="http://schemas.microsoft.com/office/drawing/2014/chart" uri="{C3380CC4-5D6E-409C-BE32-E72D297353CC}">
                <c16:uniqueId val="{000000A9-37F9-40EA-A76B-0D54D13FE724}"/>
              </c:ext>
            </c:extLst>
          </c:dPt>
          <c:dPt>
            <c:idx val="85"/>
            <c:marker>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w="9525">
                  <a:solidFill>
                    <a:schemeClr val="accent2">
                      <a:lumMod val="50000"/>
                    </a:schemeClr>
                  </a:solidFill>
                  <a:round/>
                </a:ln>
                <a:effectLst/>
              </c:spPr>
            </c:marker>
            <c:bubble3D val="0"/>
            <c:spPr>
              <a:ln w="25400" cap="rnd">
                <a:noFill/>
                <a:round/>
              </a:ln>
              <a:effectLst/>
            </c:spPr>
            <c:extLst>
              <c:ext xmlns:c16="http://schemas.microsoft.com/office/drawing/2014/chart" uri="{C3380CC4-5D6E-409C-BE32-E72D297353CC}">
                <c16:uniqueId val="{000000AB-37F9-40EA-A76B-0D54D13FE724}"/>
              </c:ext>
            </c:extLst>
          </c:dPt>
          <c:dPt>
            <c:idx val="86"/>
            <c:marker>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w="9525">
                  <a:solidFill>
                    <a:schemeClr val="accent3">
                      <a:lumMod val="50000"/>
                    </a:schemeClr>
                  </a:solidFill>
                  <a:round/>
                </a:ln>
                <a:effectLst/>
              </c:spPr>
            </c:marker>
            <c:bubble3D val="0"/>
            <c:spPr>
              <a:ln w="25400" cap="rnd">
                <a:noFill/>
                <a:round/>
              </a:ln>
              <a:effectLst/>
            </c:spPr>
            <c:extLst>
              <c:ext xmlns:c16="http://schemas.microsoft.com/office/drawing/2014/chart" uri="{C3380CC4-5D6E-409C-BE32-E72D297353CC}">
                <c16:uniqueId val="{000000AD-37F9-40EA-A76B-0D54D13FE724}"/>
              </c:ext>
            </c:extLst>
          </c:dPt>
          <c:dPt>
            <c:idx val="87"/>
            <c:marker>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w="9525">
                  <a:solidFill>
                    <a:schemeClr val="accent4">
                      <a:lumMod val="50000"/>
                    </a:schemeClr>
                  </a:solidFill>
                  <a:round/>
                </a:ln>
                <a:effectLst/>
              </c:spPr>
            </c:marker>
            <c:bubble3D val="0"/>
            <c:spPr>
              <a:ln w="25400" cap="rnd">
                <a:noFill/>
                <a:round/>
              </a:ln>
              <a:effectLst/>
            </c:spPr>
            <c:extLst>
              <c:ext xmlns:c16="http://schemas.microsoft.com/office/drawing/2014/chart" uri="{C3380CC4-5D6E-409C-BE32-E72D297353CC}">
                <c16:uniqueId val="{000000AF-37F9-40EA-A76B-0D54D13FE724}"/>
              </c:ext>
            </c:extLst>
          </c:dPt>
          <c:dPt>
            <c:idx val="88"/>
            <c:marker>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w="9525">
                  <a:solidFill>
                    <a:schemeClr val="accent5">
                      <a:lumMod val="50000"/>
                    </a:schemeClr>
                  </a:solidFill>
                  <a:round/>
                </a:ln>
                <a:effectLst/>
              </c:spPr>
            </c:marker>
            <c:bubble3D val="0"/>
            <c:spPr>
              <a:ln w="25400" cap="rnd">
                <a:noFill/>
                <a:round/>
              </a:ln>
              <a:effectLst/>
            </c:spPr>
            <c:extLst>
              <c:ext xmlns:c16="http://schemas.microsoft.com/office/drawing/2014/chart" uri="{C3380CC4-5D6E-409C-BE32-E72D297353CC}">
                <c16:uniqueId val="{000000B1-37F9-40EA-A76B-0D54D13FE724}"/>
              </c:ext>
            </c:extLst>
          </c:dPt>
          <c:dPt>
            <c:idx val="89"/>
            <c:marker>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w="9525">
                  <a:solidFill>
                    <a:schemeClr val="accent6">
                      <a:lumMod val="50000"/>
                    </a:schemeClr>
                  </a:solidFill>
                  <a:round/>
                </a:ln>
                <a:effectLst/>
              </c:spPr>
            </c:marker>
            <c:bubble3D val="0"/>
            <c:spPr>
              <a:ln w="25400" cap="rnd">
                <a:noFill/>
                <a:round/>
              </a:ln>
              <a:effectLst/>
            </c:spPr>
            <c:extLst>
              <c:ext xmlns:c16="http://schemas.microsoft.com/office/drawing/2014/chart" uri="{C3380CC4-5D6E-409C-BE32-E72D297353CC}">
                <c16:uniqueId val="{000000B3-37F9-40EA-A76B-0D54D13FE724}"/>
              </c:ext>
            </c:extLst>
          </c:dPt>
          <c:dPt>
            <c:idx val="90"/>
            <c:marker>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w="9525">
                  <a:solidFill>
                    <a:schemeClr val="accent1">
                      <a:lumMod val="70000"/>
                      <a:lumOff val="30000"/>
                    </a:schemeClr>
                  </a:solidFill>
                  <a:round/>
                </a:ln>
                <a:effectLst/>
              </c:spPr>
            </c:marker>
            <c:bubble3D val="0"/>
            <c:spPr>
              <a:ln w="25400" cap="rnd">
                <a:noFill/>
                <a:round/>
              </a:ln>
              <a:effectLst/>
            </c:spPr>
            <c:extLst>
              <c:ext xmlns:c16="http://schemas.microsoft.com/office/drawing/2014/chart" uri="{C3380CC4-5D6E-409C-BE32-E72D297353CC}">
                <c16:uniqueId val="{000000B5-37F9-40EA-A76B-0D54D13FE724}"/>
              </c:ext>
            </c:extLst>
          </c:dPt>
          <c:dPt>
            <c:idx val="91"/>
            <c:marker>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w="9525">
                  <a:solidFill>
                    <a:schemeClr val="accent2">
                      <a:lumMod val="70000"/>
                      <a:lumOff val="30000"/>
                    </a:schemeClr>
                  </a:solidFill>
                  <a:round/>
                </a:ln>
                <a:effectLst/>
              </c:spPr>
            </c:marker>
            <c:bubble3D val="0"/>
            <c:spPr>
              <a:ln w="25400" cap="rnd">
                <a:noFill/>
                <a:round/>
              </a:ln>
              <a:effectLst/>
            </c:spPr>
            <c:extLst>
              <c:ext xmlns:c16="http://schemas.microsoft.com/office/drawing/2014/chart" uri="{C3380CC4-5D6E-409C-BE32-E72D297353CC}">
                <c16:uniqueId val="{000000B7-37F9-40EA-A76B-0D54D13FE724}"/>
              </c:ext>
            </c:extLst>
          </c:dPt>
          <c:dPt>
            <c:idx val="92"/>
            <c:marker>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w="9525">
                  <a:solidFill>
                    <a:schemeClr val="accent3">
                      <a:lumMod val="70000"/>
                      <a:lumOff val="30000"/>
                    </a:schemeClr>
                  </a:solidFill>
                  <a:round/>
                </a:ln>
                <a:effectLst/>
              </c:spPr>
            </c:marker>
            <c:bubble3D val="0"/>
            <c:spPr>
              <a:ln w="25400" cap="rnd">
                <a:noFill/>
                <a:round/>
              </a:ln>
              <a:effectLst/>
            </c:spPr>
            <c:extLst>
              <c:ext xmlns:c16="http://schemas.microsoft.com/office/drawing/2014/chart" uri="{C3380CC4-5D6E-409C-BE32-E72D297353CC}">
                <c16:uniqueId val="{000000B9-37F9-40EA-A76B-0D54D13FE724}"/>
              </c:ext>
            </c:extLst>
          </c:dPt>
          <c:dPt>
            <c:idx val="93"/>
            <c:marker>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w="9525">
                  <a:solidFill>
                    <a:schemeClr val="accent4">
                      <a:lumMod val="70000"/>
                      <a:lumOff val="30000"/>
                    </a:schemeClr>
                  </a:solidFill>
                  <a:round/>
                </a:ln>
                <a:effectLst/>
              </c:spPr>
            </c:marker>
            <c:bubble3D val="0"/>
            <c:spPr>
              <a:ln w="25400" cap="rnd">
                <a:noFill/>
                <a:round/>
              </a:ln>
              <a:effectLst/>
            </c:spPr>
            <c:extLst>
              <c:ext xmlns:c16="http://schemas.microsoft.com/office/drawing/2014/chart" uri="{C3380CC4-5D6E-409C-BE32-E72D297353CC}">
                <c16:uniqueId val="{000000BB-37F9-40EA-A76B-0D54D13FE724}"/>
              </c:ext>
            </c:extLst>
          </c:dPt>
          <c:dPt>
            <c:idx val="94"/>
            <c:marker>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w="9525">
                  <a:solidFill>
                    <a:schemeClr val="accent5">
                      <a:lumMod val="70000"/>
                      <a:lumOff val="30000"/>
                    </a:schemeClr>
                  </a:solidFill>
                  <a:round/>
                </a:ln>
                <a:effectLst/>
              </c:spPr>
            </c:marker>
            <c:bubble3D val="0"/>
            <c:spPr>
              <a:ln w="25400" cap="rnd">
                <a:noFill/>
                <a:round/>
              </a:ln>
              <a:effectLst/>
            </c:spPr>
            <c:extLst>
              <c:ext xmlns:c16="http://schemas.microsoft.com/office/drawing/2014/chart" uri="{C3380CC4-5D6E-409C-BE32-E72D297353CC}">
                <c16:uniqueId val="{000000BD-37F9-40EA-A76B-0D54D13FE724}"/>
              </c:ext>
            </c:extLst>
          </c:dPt>
          <c:dPt>
            <c:idx val="95"/>
            <c:marker>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w="9525">
                  <a:solidFill>
                    <a:schemeClr val="accent6">
                      <a:lumMod val="70000"/>
                      <a:lumOff val="30000"/>
                    </a:schemeClr>
                  </a:solidFill>
                  <a:round/>
                </a:ln>
                <a:effectLst/>
              </c:spPr>
            </c:marker>
            <c:bubble3D val="0"/>
            <c:spPr>
              <a:ln w="25400" cap="rnd">
                <a:noFill/>
                <a:round/>
              </a:ln>
              <a:effectLst/>
            </c:spPr>
            <c:extLst>
              <c:ext xmlns:c16="http://schemas.microsoft.com/office/drawing/2014/chart" uri="{C3380CC4-5D6E-409C-BE32-E72D297353CC}">
                <c16:uniqueId val="{000000BF-37F9-40EA-A76B-0D54D13FE724}"/>
              </c:ext>
            </c:extLst>
          </c:dPt>
          <c:dPt>
            <c:idx val="96"/>
            <c:marker>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w="9525">
                  <a:solidFill>
                    <a:schemeClr val="accent1">
                      <a:lumMod val="70000"/>
                    </a:schemeClr>
                  </a:solidFill>
                  <a:round/>
                </a:ln>
                <a:effectLst/>
              </c:spPr>
            </c:marker>
            <c:bubble3D val="0"/>
            <c:spPr>
              <a:ln w="25400" cap="rnd">
                <a:noFill/>
                <a:round/>
              </a:ln>
              <a:effectLst/>
            </c:spPr>
            <c:extLst>
              <c:ext xmlns:c16="http://schemas.microsoft.com/office/drawing/2014/chart" uri="{C3380CC4-5D6E-409C-BE32-E72D297353CC}">
                <c16:uniqueId val="{000000C1-37F9-40EA-A76B-0D54D13FE724}"/>
              </c:ext>
            </c:extLst>
          </c:dPt>
          <c:dPt>
            <c:idx val="97"/>
            <c:marker>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w="9525">
                  <a:solidFill>
                    <a:schemeClr val="accent2">
                      <a:lumMod val="70000"/>
                    </a:schemeClr>
                  </a:solidFill>
                  <a:round/>
                </a:ln>
                <a:effectLst/>
              </c:spPr>
            </c:marker>
            <c:bubble3D val="0"/>
            <c:spPr>
              <a:ln w="25400" cap="rnd">
                <a:noFill/>
                <a:round/>
              </a:ln>
              <a:effectLst/>
            </c:spPr>
            <c:extLst>
              <c:ext xmlns:c16="http://schemas.microsoft.com/office/drawing/2014/chart" uri="{C3380CC4-5D6E-409C-BE32-E72D297353CC}">
                <c16:uniqueId val="{000000C3-37F9-40EA-A76B-0D54D13FE724}"/>
              </c:ext>
            </c:extLst>
          </c:dPt>
          <c:dPt>
            <c:idx val="98"/>
            <c:marker>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w="9525">
                  <a:solidFill>
                    <a:schemeClr val="accent3">
                      <a:lumMod val="70000"/>
                    </a:schemeClr>
                  </a:solidFill>
                  <a:round/>
                </a:ln>
                <a:effectLst/>
              </c:spPr>
            </c:marker>
            <c:bubble3D val="0"/>
            <c:spPr>
              <a:ln w="25400" cap="rnd">
                <a:noFill/>
                <a:round/>
              </a:ln>
              <a:effectLst/>
            </c:spPr>
            <c:extLst>
              <c:ext xmlns:c16="http://schemas.microsoft.com/office/drawing/2014/chart" uri="{C3380CC4-5D6E-409C-BE32-E72D297353CC}">
                <c16:uniqueId val="{000000C5-37F9-40EA-A76B-0D54D13FE724}"/>
              </c:ext>
            </c:extLst>
          </c:dPt>
          <c:dPt>
            <c:idx val="99"/>
            <c:marker>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w="9525">
                  <a:solidFill>
                    <a:schemeClr val="accent4">
                      <a:lumMod val="70000"/>
                    </a:schemeClr>
                  </a:solidFill>
                  <a:round/>
                </a:ln>
                <a:effectLst/>
              </c:spPr>
            </c:marker>
            <c:bubble3D val="0"/>
            <c:spPr>
              <a:ln w="25400" cap="rnd">
                <a:noFill/>
                <a:round/>
              </a:ln>
              <a:effectLst/>
            </c:spPr>
            <c:extLst>
              <c:ext xmlns:c16="http://schemas.microsoft.com/office/drawing/2014/chart" uri="{C3380CC4-5D6E-409C-BE32-E72D297353CC}">
                <c16:uniqueId val="{000000C7-37F9-40EA-A76B-0D54D13FE724}"/>
              </c:ext>
            </c:extLst>
          </c:dPt>
          <c:dPt>
            <c:idx val="100"/>
            <c:marker>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w="9525">
                  <a:solidFill>
                    <a:schemeClr val="accent5">
                      <a:lumMod val="70000"/>
                    </a:schemeClr>
                  </a:solidFill>
                  <a:round/>
                </a:ln>
                <a:effectLst/>
              </c:spPr>
            </c:marker>
            <c:bubble3D val="0"/>
            <c:spPr>
              <a:ln w="25400" cap="rnd">
                <a:noFill/>
                <a:round/>
              </a:ln>
              <a:effectLst/>
            </c:spPr>
            <c:extLst>
              <c:ext xmlns:c16="http://schemas.microsoft.com/office/drawing/2014/chart" uri="{C3380CC4-5D6E-409C-BE32-E72D297353CC}">
                <c16:uniqueId val="{000000C9-37F9-40EA-A76B-0D54D13FE724}"/>
              </c:ext>
            </c:extLst>
          </c:dPt>
          <c:dPt>
            <c:idx val="101"/>
            <c:marker>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w="9525">
                  <a:solidFill>
                    <a:schemeClr val="accent6">
                      <a:lumMod val="70000"/>
                    </a:schemeClr>
                  </a:solidFill>
                  <a:round/>
                </a:ln>
                <a:effectLst/>
              </c:spPr>
            </c:marker>
            <c:bubble3D val="0"/>
            <c:spPr>
              <a:ln w="25400" cap="rnd">
                <a:noFill/>
                <a:round/>
              </a:ln>
              <a:effectLst/>
            </c:spPr>
            <c:extLst>
              <c:ext xmlns:c16="http://schemas.microsoft.com/office/drawing/2014/chart" uri="{C3380CC4-5D6E-409C-BE32-E72D297353CC}">
                <c16:uniqueId val="{000000CB-37F9-40EA-A76B-0D54D13FE724}"/>
              </c:ext>
            </c:extLst>
          </c:dPt>
          <c:dPt>
            <c:idx val="102"/>
            <c:marker>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w="9525">
                  <a:solidFill>
                    <a:schemeClr val="accent1">
                      <a:lumMod val="50000"/>
                      <a:lumOff val="50000"/>
                    </a:schemeClr>
                  </a:solidFill>
                  <a:round/>
                </a:ln>
                <a:effectLst/>
              </c:spPr>
            </c:marker>
            <c:bubble3D val="0"/>
            <c:spPr>
              <a:ln w="25400" cap="rnd">
                <a:noFill/>
                <a:round/>
              </a:ln>
              <a:effectLst/>
            </c:spPr>
            <c:extLst>
              <c:ext xmlns:c16="http://schemas.microsoft.com/office/drawing/2014/chart" uri="{C3380CC4-5D6E-409C-BE32-E72D297353CC}">
                <c16:uniqueId val="{000000CD-37F9-40EA-A76B-0D54D13FE724}"/>
              </c:ext>
            </c:extLst>
          </c:dPt>
          <c:dPt>
            <c:idx val="103"/>
            <c:marker>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w="9525">
                  <a:solidFill>
                    <a:schemeClr val="accent2">
                      <a:lumMod val="50000"/>
                      <a:lumOff val="50000"/>
                    </a:schemeClr>
                  </a:solidFill>
                  <a:round/>
                </a:ln>
                <a:effectLst/>
              </c:spPr>
            </c:marker>
            <c:bubble3D val="0"/>
            <c:spPr>
              <a:ln w="25400" cap="rnd">
                <a:noFill/>
                <a:round/>
              </a:ln>
              <a:effectLst/>
            </c:spPr>
            <c:extLst>
              <c:ext xmlns:c16="http://schemas.microsoft.com/office/drawing/2014/chart" uri="{C3380CC4-5D6E-409C-BE32-E72D297353CC}">
                <c16:uniqueId val="{000000CF-37F9-40EA-A76B-0D54D13FE724}"/>
              </c:ext>
            </c:extLst>
          </c:dPt>
          <c:dPt>
            <c:idx val="104"/>
            <c:marker>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w="9525">
                  <a:solidFill>
                    <a:schemeClr val="accent3">
                      <a:lumMod val="50000"/>
                      <a:lumOff val="50000"/>
                    </a:schemeClr>
                  </a:solidFill>
                  <a:round/>
                </a:ln>
                <a:effectLst/>
              </c:spPr>
            </c:marker>
            <c:bubble3D val="0"/>
            <c:spPr>
              <a:ln w="25400" cap="rnd">
                <a:noFill/>
                <a:round/>
              </a:ln>
              <a:effectLst/>
            </c:spPr>
            <c:extLst>
              <c:ext xmlns:c16="http://schemas.microsoft.com/office/drawing/2014/chart" uri="{C3380CC4-5D6E-409C-BE32-E72D297353CC}">
                <c16:uniqueId val="{000000D1-37F9-40EA-A76B-0D54D13FE724}"/>
              </c:ext>
            </c:extLst>
          </c:dPt>
          <c:dPt>
            <c:idx val="105"/>
            <c:marker>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w="9525">
                  <a:solidFill>
                    <a:schemeClr val="accent4">
                      <a:lumMod val="50000"/>
                      <a:lumOff val="50000"/>
                    </a:schemeClr>
                  </a:solidFill>
                  <a:round/>
                </a:ln>
                <a:effectLst/>
              </c:spPr>
            </c:marker>
            <c:bubble3D val="0"/>
            <c:spPr>
              <a:ln w="25400" cap="rnd">
                <a:noFill/>
                <a:round/>
              </a:ln>
              <a:effectLst/>
            </c:spPr>
            <c:extLst>
              <c:ext xmlns:c16="http://schemas.microsoft.com/office/drawing/2014/chart" uri="{C3380CC4-5D6E-409C-BE32-E72D297353CC}">
                <c16:uniqueId val="{000000D3-37F9-40EA-A76B-0D54D13FE724}"/>
              </c:ext>
            </c:extLst>
          </c:dPt>
          <c:dPt>
            <c:idx val="106"/>
            <c:marker>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w="9525">
                  <a:solidFill>
                    <a:schemeClr val="accent5">
                      <a:lumMod val="50000"/>
                      <a:lumOff val="50000"/>
                    </a:schemeClr>
                  </a:solidFill>
                  <a:round/>
                </a:ln>
                <a:effectLst/>
              </c:spPr>
            </c:marker>
            <c:bubble3D val="0"/>
            <c:spPr>
              <a:ln w="25400" cap="rnd">
                <a:noFill/>
                <a:round/>
              </a:ln>
              <a:effectLst/>
            </c:spPr>
            <c:extLst>
              <c:ext xmlns:c16="http://schemas.microsoft.com/office/drawing/2014/chart" uri="{C3380CC4-5D6E-409C-BE32-E72D297353CC}">
                <c16:uniqueId val="{000000D5-37F9-40EA-A76B-0D54D13FE724}"/>
              </c:ext>
            </c:extLst>
          </c:dPt>
          <c:dPt>
            <c:idx val="107"/>
            <c:marker>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w="9525">
                  <a:solidFill>
                    <a:schemeClr val="accent6">
                      <a:lumMod val="50000"/>
                      <a:lumOff val="50000"/>
                    </a:schemeClr>
                  </a:solidFill>
                  <a:round/>
                </a:ln>
                <a:effectLst/>
              </c:spPr>
            </c:marker>
            <c:bubble3D val="0"/>
            <c:spPr>
              <a:ln w="25400" cap="rnd">
                <a:noFill/>
                <a:round/>
              </a:ln>
              <a:effectLst/>
            </c:spPr>
            <c:extLst>
              <c:ext xmlns:c16="http://schemas.microsoft.com/office/drawing/2014/chart" uri="{C3380CC4-5D6E-409C-BE32-E72D297353CC}">
                <c16:uniqueId val="{000000D7-37F9-40EA-A76B-0D54D13FE724}"/>
              </c:ext>
            </c:extLst>
          </c:dPt>
          <c:dPt>
            <c:idx val="108"/>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bubble3D val="0"/>
            <c:spPr>
              <a:ln w="25400" cap="rnd">
                <a:noFill/>
                <a:round/>
              </a:ln>
              <a:effectLst/>
            </c:spPr>
            <c:extLst>
              <c:ext xmlns:c16="http://schemas.microsoft.com/office/drawing/2014/chart" uri="{C3380CC4-5D6E-409C-BE32-E72D297353CC}">
                <c16:uniqueId val="{000000D9-37F9-40EA-A76B-0D54D13FE724}"/>
              </c:ext>
            </c:extLst>
          </c:dPt>
          <c:dPt>
            <c:idx val="109"/>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bubble3D val="0"/>
            <c:spPr>
              <a:ln w="25400" cap="rnd">
                <a:noFill/>
                <a:round/>
              </a:ln>
              <a:effectLst/>
            </c:spPr>
            <c:extLst>
              <c:ext xmlns:c16="http://schemas.microsoft.com/office/drawing/2014/chart" uri="{C3380CC4-5D6E-409C-BE32-E72D297353CC}">
                <c16:uniqueId val="{000000DB-37F9-40EA-A76B-0D54D13FE724}"/>
              </c:ext>
            </c:extLst>
          </c:dPt>
          <c:dPt>
            <c:idx val="110"/>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c:spPr>
            </c:marker>
            <c:bubble3D val="0"/>
            <c:spPr>
              <a:ln w="25400" cap="rnd">
                <a:noFill/>
                <a:round/>
              </a:ln>
              <a:effectLst/>
            </c:spPr>
            <c:extLst>
              <c:ext xmlns:c16="http://schemas.microsoft.com/office/drawing/2014/chart" uri="{C3380CC4-5D6E-409C-BE32-E72D297353CC}">
                <c16:uniqueId val="{000000DD-37F9-40EA-A76B-0D54D13FE724}"/>
              </c:ext>
            </c:extLst>
          </c:dPt>
          <c:dPt>
            <c:idx val="111"/>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c:spPr>
            </c:marker>
            <c:bubble3D val="0"/>
            <c:spPr>
              <a:ln w="25400" cap="rnd">
                <a:noFill/>
                <a:round/>
              </a:ln>
              <a:effectLst/>
            </c:spPr>
            <c:extLst>
              <c:ext xmlns:c16="http://schemas.microsoft.com/office/drawing/2014/chart" uri="{C3380CC4-5D6E-409C-BE32-E72D297353CC}">
                <c16:uniqueId val="{000000DF-37F9-40EA-A76B-0D54D13FE724}"/>
              </c:ext>
            </c:extLst>
          </c:dPt>
          <c:dPt>
            <c:idx val="112"/>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c:spPr>
            </c:marker>
            <c:bubble3D val="0"/>
            <c:spPr>
              <a:ln w="25400" cap="rnd">
                <a:noFill/>
                <a:round/>
              </a:ln>
              <a:effectLst/>
            </c:spPr>
            <c:extLst>
              <c:ext xmlns:c16="http://schemas.microsoft.com/office/drawing/2014/chart" uri="{C3380CC4-5D6E-409C-BE32-E72D297353CC}">
                <c16:uniqueId val="{000000E1-37F9-40EA-A76B-0D54D13FE724}"/>
              </c:ext>
            </c:extLst>
          </c:dPt>
          <c:dPt>
            <c:idx val="113"/>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bubble3D val="0"/>
            <c:spPr>
              <a:ln w="25400" cap="rnd">
                <a:noFill/>
                <a:round/>
              </a:ln>
              <a:effectLst/>
            </c:spPr>
            <c:extLst>
              <c:ext xmlns:c16="http://schemas.microsoft.com/office/drawing/2014/chart" uri="{C3380CC4-5D6E-409C-BE32-E72D297353CC}">
                <c16:uniqueId val="{000000E3-37F9-40EA-A76B-0D54D13FE724}"/>
              </c:ext>
            </c:extLst>
          </c:dPt>
          <c:dPt>
            <c:idx val="114"/>
            <c:marker>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c:spPr>
            </c:marker>
            <c:bubble3D val="0"/>
            <c:spPr>
              <a:ln w="25400" cap="rnd">
                <a:noFill/>
                <a:round/>
              </a:ln>
              <a:effectLst/>
            </c:spPr>
            <c:extLst>
              <c:ext xmlns:c16="http://schemas.microsoft.com/office/drawing/2014/chart" uri="{C3380CC4-5D6E-409C-BE32-E72D297353CC}">
                <c16:uniqueId val="{000000E5-37F9-40EA-A76B-0D54D13FE724}"/>
              </c:ext>
            </c:extLst>
          </c:dPt>
          <c:dPt>
            <c:idx val="115"/>
            <c:marker>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c:spPr>
            </c:marker>
            <c:bubble3D val="0"/>
            <c:spPr>
              <a:ln w="25400" cap="rnd">
                <a:noFill/>
                <a:round/>
              </a:ln>
              <a:effectLst/>
            </c:spPr>
            <c:extLst>
              <c:ext xmlns:c16="http://schemas.microsoft.com/office/drawing/2014/chart" uri="{C3380CC4-5D6E-409C-BE32-E72D297353CC}">
                <c16:uniqueId val="{000000E7-37F9-40EA-A76B-0D54D13FE724}"/>
              </c:ext>
            </c:extLst>
          </c:dPt>
          <c:dPt>
            <c:idx val="116"/>
            <c:marker>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c:spPr>
            </c:marker>
            <c:bubble3D val="0"/>
            <c:spPr>
              <a:ln w="25400" cap="rnd">
                <a:noFill/>
                <a:round/>
              </a:ln>
              <a:effectLst/>
            </c:spPr>
            <c:extLst>
              <c:ext xmlns:c16="http://schemas.microsoft.com/office/drawing/2014/chart" uri="{C3380CC4-5D6E-409C-BE32-E72D297353CC}">
                <c16:uniqueId val="{000000E9-37F9-40EA-A76B-0D54D13FE724}"/>
              </c:ext>
            </c:extLst>
          </c:dPt>
          <c:dPt>
            <c:idx val="117"/>
            <c:marker>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c:spPr>
            </c:marker>
            <c:bubble3D val="0"/>
            <c:spPr>
              <a:ln w="25400" cap="rnd">
                <a:noFill/>
                <a:round/>
              </a:ln>
              <a:effectLst/>
            </c:spPr>
            <c:extLst>
              <c:ext xmlns:c16="http://schemas.microsoft.com/office/drawing/2014/chart" uri="{C3380CC4-5D6E-409C-BE32-E72D297353CC}">
                <c16:uniqueId val="{000000EB-37F9-40EA-A76B-0D54D13FE724}"/>
              </c:ext>
            </c:extLst>
          </c:dPt>
          <c:dPt>
            <c:idx val="118"/>
            <c:marker>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c:spPr>
            </c:marker>
            <c:bubble3D val="0"/>
            <c:spPr>
              <a:ln w="25400" cap="rnd">
                <a:noFill/>
                <a:round/>
              </a:ln>
              <a:effectLst/>
            </c:spPr>
            <c:extLst>
              <c:ext xmlns:c16="http://schemas.microsoft.com/office/drawing/2014/chart" uri="{C3380CC4-5D6E-409C-BE32-E72D297353CC}">
                <c16:uniqueId val="{000000ED-37F9-40EA-A76B-0D54D13FE724}"/>
              </c:ext>
            </c:extLst>
          </c:dPt>
          <c:dPt>
            <c:idx val="119"/>
            <c:marker>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c:spPr>
            </c:marker>
            <c:bubble3D val="0"/>
            <c:spPr>
              <a:ln w="25400" cap="rnd">
                <a:noFill/>
                <a:round/>
              </a:ln>
              <a:effectLst/>
            </c:spPr>
            <c:extLst>
              <c:ext xmlns:c16="http://schemas.microsoft.com/office/drawing/2014/chart" uri="{C3380CC4-5D6E-409C-BE32-E72D297353CC}">
                <c16:uniqueId val="{000000EF-37F9-40EA-A76B-0D54D13FE724}"/>
              </c:ext>
            </c:extLst>
          </c:dPt>
          <c:dPt>
            <c:idx val="120"/>
            <c:marker>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0F1-37F9-40EA-A76B-0D54D13FE724}"/>
              </c:ext>
            </c:extLst>
          </c:dPt>
          <c:dPt>
            <c:idx val="121"/>
            <c:marker>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0F3-37F9-40EA-A76B-0D54D13FE724}"/>
              </c:ext>
            </c:extLst>
          </c:dPt>
          <c:dPt>
            <c:idx val="122"/>
            <c:marker>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0F5-37F9-40EA-A76B-0D54D13FE724}"/>
              </c:ext>
            </c:extLst>
          </c:dPt>
          <c:dPt>
            <c:idx val="123"/>
            <c:marker>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0F7-37F9-40EA-A76B-0D54D13FE724}"/>
              </c:ext>
            </c:extLst>
          </c:dPt>
          <c:dPt>
            <c:idx val="124"/>
            <c:marker>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0F9-37F9-40EA-A76B-0D54D13FE724}"/>
              </c:ext>
            </c:extLst>
          </c:dPt>
          <c:dPt>
            <c:idx val="125"/>
            <c:marker>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0FB-37F9-40EA-A76B-0D54D13FE724}"/>
              </c:ext>
            </c:extLst>
          </c:dPt>
          <c:dPt>
            <c:idx val="126"/>
            <c:marker>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c:spPr>
            </c:marker>
            <c:bubble3D val="0"/>
            <c:spPr>
              <a:ln w="25400" cap="rnd">
                <a:noFill/>
                <a:round/>
              </a:ln>
              <a:effectLst/>
            </c:spPr>
            <c:extLst>
              <c:ext xmlns:c16="http://schemas.microsoft.com/office/drawing/2014/chart" uri="{C3380CC4-5D6E-409C-BE32-E72D297353CC}">
                <c16:uniqueId val="{000000FD-37F9-40EA-A76B-0D54D13FE724}"/>
              </c:ext>
            </c:extLst>
          </c:dPt>
          <c:dPt>
            <c:idx val="127"/>
            <c:marker>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c:spPr>
            </c:marker>
            <c:bubble3D val="0"/>
            <c:spPr>
              <a:ln w="25400" cap="rnd">
                <a:noFill/>
                <a:round/>
              </a:ln>
              <a:effectLst/>
            </c:spPr>
            <c:extLst>
              <c:ext xmlns:c16="http://schemas.microsoft.com/office/drawing/2014/chart" uri="{C3380CC4-5D6E-409C-BE32-E72D297353CC}">
                <c16:uniqueId val="{000000FF-37F9-40EA-A76B-0D54D13FE724}"/>
              </c:ext>
            </c:extLst>
          </c:dPt>
          <c:dPt>
            <c:idx val="128"/>
            <c:marker>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c:spPr>
            </c:marker>
            <c:bubble3D val="0"/>
            <c:spPr>
              <a:ln w="25400" cap="rnd">
                <a:noFill/>
                <a:round/>
              </a:ln>
              <a:effectLst/>
            </c:spPr>
            <c:extLst>
              <c:ext xmlns:c16="http://schemas.microsoft.com/office/drawing/2014/chart" uri="{C3380CC4-5D6E-409C-BE32-E72D297353CC}">
                <c16:uniqueId val="{00000101-37F9-40EA-A76B-0D54D13FE724}"/>
              </c:ext>
            </c:extLst>
          </c:dPt>
          <c:dPt>
            <c:idx val="129"/>
            <c:marker>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c:spPr>
            </c:marker>
            <c:bubble3D val="0"/>
            <c:spPr>
              <a:ln w="25400" cap="rnd">
                <a:noFill/>
                <a:round/>
              </a:ln>
              <a:effectLst/>
            </c:spPr>
            <c:extLst>
              <c:ext xmlns:c16="http://schemas.microsoft.com/office/drawing/2014/chart" uri="{C3380CC4-5D6E-409C-BE32-E72D297353CC}">
                <c16:uniqueId val="{00000103-37F9-40EA-A76B-0D54D13FE724}"/>
              </c:ext>
            </c:extLst>
          </c:dPt>
          <c:dPt>
            <c:idx val="130"/>
            <c:marker>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c:spPr>
            </c:marker>
            <c:bubble3D val="0"/>
            <c:spPr>
              <a:ln w="25400" cap="rnd">
                <a:noFill/>
                <a:round/>
              </a:ln>
              <a:effectLst/>
            </c:spPr>
            <c:extLst>
              <c:ext xmlns:c16="http://schemas.microsoft.com/office/drawing/2014/chart" uri="{C3380CC4-5D6E-409C-BE32-E72D297353CC}">
                <c16:uniqueId val="{00000105-37F9-40EA-A76B-0D54D13FE724}"/>
              </c:ext>
            </c:extLst>
          </c:dPt>
          <c:dPt>
            <c:idx val="131"/>
            <c:marker>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c:spPr>
            </c:marker>
            <c:bubble3D val="0"/>
            <c:spPr>
              <a:ln w="25400" cap="rnd">
                <a:noFill/>
                <a:round/>
              </a:ln>
              <a:effectLst/>
            </c:spPr>
            <c:extLst>
              <c:ext xmlns:c16="http://schemas.microsoft.com/office/drawing/2014/chart" uri="{C3380CC4-5D6E-409C-BE32-E72D297353CC}">
                <c16:uniqueId val="{00000107-37F9-40EA-A76B-0D54D13FE724}"/>
              </c:ext>
            </c:extLst>
          </c:dPt>
          <c:dPt>
            <c:idx val="132"/>
            <c:marker>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109-37F9-40EA-A76B-0D54D13FE724}"/>
              </c:ext>
            </c:extLst>
          </c:dPt>
          <c:dPt>
            <c:idx val="133"/>
            <c:marker>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a:solidFill>
                    <a:schemeClr val="accent2">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10B-37F9-40EA-A76B-0D54D13FE724}"/>
              </c:ext>
            </c:extLst>
          </c:dPt>
          <c:dPt>
            <c:idx val="134"/>
            <c:marker>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9525">
                  <a:solidFill>
                    <a:schemeClr val="accent3">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10D-37F9-40EA-A76B-0D54D13FE724}"/>
              </c:ext>
            </c:extLst>
          </c:dPt>
          <c:dPt>
            <c:idx val="135"/>
            <c:marker>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9525">
                  <a:solidFill>
                    <a:schemeClr val="accent4">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10F-37F9-40EA-A76B-0D54D13FE724}"/>
              </c:ext>
            </c:extLst>
          </c:dPt>
          <c:dPt>
            <c:idx val="136"/>
            <c:marker>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9525">
                  <a:solidFill>
                    <a:schemeClr val="accent5">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111-37F9-40EA-A76B-0D54D13FE724}"/>
              </c:ext>
            </c:extLst>
          </c:dPt>
          <c:dPt>
            <c:idx val="137"/>
            <c:marker>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w="9525">
                  <a:solidFill>
                    <a:schemeClr val="accent6">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113-37F9-40EA-A76B-0D54D13FE724}"/>
              </c:ext>
            </c:extLst>
          </c:dPt>
          <c:dPt>
            <c:idx val="138"/>
            <c:marker>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w="9525">
                  <a:solidFill>
                    <a:schemeClr val="accent1">
                      <a:lumMod val="50000"/>
                    </a:schemeClr>
                  </a:solidFill>
                  <a:round/>
                </a:ln>
                <a:effectLst/>
              </c:spPr>
            </c:marker>
            <c:bubble3D val="0"/>
            <c:spPr>
              <a:ln w="25400" cap="rnd">
                <a:noFill/>
                <a:round/>
              </a:ln>
              <a:effectLst/>
            </c:spPr>
            <c:extLst>
              <c:ext xmlns:c16="http://schemas.microsoft.com/office/drawing/2014/chart" uri="{C3380CC4-5D6E-409C-BE32-E72D297353CC}">
                <c16:uniqueId val="{00000115-37F9-40EA-A76B-0D54D13FE724}"/>
              </c:ext>
            </c:extLst>
          </c:dPt>
          <c:dPt>
            <c:idx val="139"/>
            <c:marker>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w="9525">
                  <a:solidFill>
                    <a:schemeClr val="accent2">
                      <a:lumMod val="50000"/>
                    </a:schemeClr>
                  </a:solidFill>
                  <a:round/>
                </a:ln>
                <a:effectLst/>
              </c:spPr>
            </c:marker>
            <c:bubble3D val="0"/>
            <c:spPr>
              <a:ln w="25400" cap="rnd">
                <a:noFill/>
                <a:round/>
              </a:ln>
              <a:effectLst/>
            </c:spPr>
            <c:extLst>
              <c:ext xmlns:c16="http://schemas.microsoft.com/office/drawing/2014/chart" uri="{C3380CC4-5D6E-409C-BE32-E72D297353CC}">
                <c16:uniqueId val="{00000117-37F9-40EA-A76B-0D54D13FE724}"/>
              </c:ext>
            </c:extLst>
          </c:dPt>
          <c:dPt>
            <c:idx val="140"/>
            <c:marker>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w="9525">
                  <a:solidFill>
                    <a:schemeClr val="accent3">
                      <a:lumMod val="50000"/>
                    </a:schemeClr>
                  </a:solidFill>
                  <a:round/>
                </a:ln>
                <a:effectLst/>
              </c:spPr>
            </c:marker>
            <c:bubble3D val="0"/>
            <c:spPr>
              <a:ln w="25400" cap="rnd">
                <a:noFill/>
                <a:round/>
              </a:ln>
              <a:effectLst/>
            </c:spPr>
            <c:extLst>
              <c:ext xmlns:c16="http://schemas.microsoft.com/office/drawing/2014/chart" uri="{C3380CC4-5D6E-409C-BE32-E72D297353CC}">
                <c16:uniqueId val="{00000119-37F9-40EA-A76B-0D54D13FE724}"/>
              </c:ext>
            </c:extLst>
          </c:dPt>
          <c:dPt>
            <c:idx val="141"/>
            <c:marker>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w="9525">
                  <a:solidFill>
                    <a:schemeClr val="accent4">
                      <a:lumMod val="50000"/>
                    </a:schemeClr>
                  </a:solidFill>
                  <a:round/>
                </a:ln>
                <a:effectLst/>
              </c:spPr>
            </c:marker>
            <c:bubble3D val="0"/>
            <c:spPr>
              <a:ln w="25400" cap="rnd">
                <a:noFill/>
                <a:round/>
              </a:ln>
              <a:effectLst/>
            </c:spPr>
            <c:extLst>
              <c:ext xmlns:c16="http://schemas.microsoft.com/office/drawing/2014/chart" uri="{C3380CC4-5D6E-409C-BE32-E72D297353CC}">
                <c16:uniqueId val="{0000011B-37F9-40EA-A76B-0D54D13FE724}"/>
              </c:ext>
            </c:extLst>
          </c:dPt>
          <c:dPt>
            <c:idx val="142"/>
            <c:marker>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w="9525">
                  <a:solidFill>
                    <a:schemeClr val="accent5">
                      <a:lumMod val="50000"/>
                    </a:schemeClr>
                  </a:solidFill>
                  <a:round/>
                </a:ln>
                <a:effectLst/>
              </c:spPr>
            </c:marker>
            <c:bubble3D val="0"/>
            <c:spPr>
              <a:ln w="25400" cap="rnd">
                <a:noFill/>
                <a:round/>
              </a:ln>
              <a:effectLst/>
            </c:spPr>
            <c:extLst>
              <c:ext xmlns:c16="http://schemas.microsoft.com/office/drawing/2014/chart" uri="{C3380CC4-5D6E-409C-BE32-E72D297353CC}">
                <c16:uniqueId val="{0000011D-37F9-40EA-A76B-0D54D13FE724}"/>
              </c:ext>
            </c:extLst>
          </c:dPt>
          <c:dPt>
            <c:idx val="143"/>
            <c:marker>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w="9525">
                  <a:solidFill>
                    <a:schemeClr val="accent6">
                      <a:lumMod val="50000"/>
                    </a:schemeClr>
                  </a:solidFill>
                  <a:round/>
                </a:ln>
                <a:effectLst/>
              </c:spPr>
            </c:marker>
            <c:bubble3D val="0"/>
            <c:spPr>
              <a:ln w="25400" cap="rnd">
                <a:noFill/>
                <a:round/>
              </a:ln>
              <a:effectLst/>
            </c:spPr>
            <c:extLst>
              <c:ext xmlns:c16="http://schemas.microsoft.com/office/drawing/2014/chart" uri="{C3380CC4-5D6E-409C-BE32-E72D297353CC}">
                <c16:uniqueId val="{0000011F-37F9-40EA-A76B-0D54D13FE724}"/>
              </c:ext>
            </c:extLst>
          </c:dPt>
          <c:dPt>
            <c:idx val="144"/>
            <c:marker>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w="9525">
                  <a:solidFill>
                    <a:schemeClr val="accent1">
                      <a:lumMod val="70000"/>
                      <a:lumOff val="30000"/>
                    </a:schemeClr>
                  </a:solidFill>
                  <a:round/>
                </a:ln>
                <a:effectLst/>
              </c:spPr>
            </c:marker>
            <c:bubble3D val="0"/>
            <c:spPr>
              <a:ln w="25400" cap="rnd">
                <a:noFill/>
                <a:round/>
              </a:ln>
              <a:effectLst/>
            </c:spPr>
            <c:extLst>
              <c:ext xmlns:c16="http://schemas.microsoft.com/office/drawing/2014/chart" uri="{C3380CC4-5D6E-409C-BE32-E72D297353CC}">
                <c16:uniqueId val="{00000121-37F9-40EA-A76B-0D54D13FE724}"/>
              </c:ext>
            </c:extLst>
          </c:dPt>
          <c:dPt>
            <c:idx val="145"/>
            <c:marker>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w="9525">
                  <a:solidFill>
                    <a:schemeClr val="accent2">
                      <a:lumMod val="70000"/>
                      <a:lumOff val="30000"/>
                    </a:schemeClr>
                  </a:solidFill>
                  <a:round/>
                </a:ln>
                <a:effectLst/>
              </c:spPr>
            </c:marker>
            <c:bubble3D val="0"/>
            <c:spPr>
              <a:ln w="25400" cap="rnd">
                <a:noFill/>
                <a:round/>
              </a:ln>
              <a:effectLst/>
            </c:spPr>
            <c:extLst>
              <c:ext xmlns:c16="http://schemas.microsoft.com/office/drawing/2014/chart" uri="{C3380CC4-5D6E-409C-BE32-E72D297353CC}">
                <c16:uniqueId val="{00000123-37F9-40EA-A76B-0D54D13FE724}"/>
              </c:ext>
            </c:extLst>
          </c:dPt>
          <c:dPt>
            <c:idx val="146"/>
            <c:marker>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w="9525">
                  <a:solidFill>
                    <a:schemeClr val="accent3">
                      <a:lumMod val="70000"/>
                      <a:lumOff val="30000"/>
                    </a:schemeClr>
                  </a:solidFill>
                  <a:round/>
                </a:ln>
                <a:effectLst/>
              </c:spPr>
            </c:marker>
            <c:bubble3D val="0"/>
            <c:spPr>
              <a:ln w="25400" cap="rnd">
                <a:noFill/>
                <a:round/>
              </a:ln>
              <a:effectLst/>
            </c:spPr>
            <c:extLst>
              <c:ext xmlns:c16="http://schemas.microsoft.com/office/drawing/2014/chart" uri="{C3380CC4-5D6E-409C-BE32-E72D297353CC}">
                <c16:uniqueId val="{00000125-37F9-40EA-A76B-0D54D13FE724}"/>
              </c:ext>
            </c:extLst>
          </c:dPt>
          <c:dPt>
            <c:idx val="147"/>
            <c:marker>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w="9525">
                  <a:solidFill>
                    <a:schemeClr val="accent4">
                      <a:lumMod val="70000"/>
                      <a:lumOff val="30000"/>
                    </a:schemeClr>
                  </a:solidFill>
                  <a:round/>
                </a:ln>
                <a:effectLst/>
              </c:spPr>
            </c:marker>
            <c:bubble3D val="0"/>
            <c:spPr>
              <a:ln w="25400" cap="rnd">
                <a:noFill/>
                <a:round/>
              </a:ln>
              <a:effectLst/>
            </c:spPr>
            <c:extLst>
              <c:ext xmlns:c16="http://schemas.microsoft.com/office/drawing/2014/chart" uri="{C3380CC4-5D6E-409C-BE32-E72D297353CC}">
                <c16:uniqueId val="{00000127-37F9-40EA-A76B-0D54D13FE724}"/>
              </c:ext>
            </c:extLst>
          </c:dPt>
          <c:dPt>
            <c:idx val="148"/>
            <c:marker>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w="9525">
                  <a:solidFill>
                    <a:schemeClr val="accent5">
                      <a:lumMod val="70000"/>
                      <a:lumOff val="30000"/>
                    </a:schemeClr>
                  </a:solidFill>
                  <a:round/>
                </a:ln>
                <a:effectLst/>
              </c:spPr>
            </c:marker>
            <c:bubble3D val="0"/>
            <c:spPr>
              <a:ln w="25400" cap="rnd">
                <a:noFill/>
                <a:round/>
              </a:ln>
              <a:effectLst/>
            </c:spPr>
            <c:extLst>
              <c:ext xmlns:c16="http://schemas.microsoft.com/office/drawing/2014/chart" uri="{C3380CC4-5D6E-409C-BE32-E72D297353CC}">
                <c16:uniqueId val="{00000129-37F9-40EA-A76B-0D54D13FE724}"/>
              </c:ext>
            </c:extLst>
          </c:dPt>
          <c:dPt>
            <c:idx val="149"/>
            <c:marker>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w="9525">
                  <a:solidFill>
                    <a:schemeClr val="accent6">
                      <a:lumMod val="70000"/>
                      <a:lumOff val="30000"/>
                    </a:schemeClr>
                  </a:solidFill>
                  <a:round/>
                </a:ln>
                <a:effectLst/>
              </c:spPr>
            </c:marker>
            <c:bubble3D val="0"/>
            <c:spPr>
              <a:ln w="25400" cap="rnd">
                <a:noFill/>
                <a:round/>
              </a:ln>
              <a:effectLst/>
            </c:spPr>
            <c:extLst>
              <c:ext xmlns:c16="http://schemas.microsoft.com/office/drawing/2014/chart" uri="{C3380CC4-5D6E-409C-BE32-E72D297353CC}">
                <c16:uniqueId val="{0000012B-37F9-40EA-A76B-0D54D13FE724}"/>
              </c:ext>
            </c:extLst>
          </c:dPt>
          <c:dPt>
            <c:idx val="150"/>
            <c:marker>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w="9525">
                  <a:solidFill>
                    <a:schemeClr val="accent1">
                      <a:lumMod val="70000"/>
                    </a:schemeClr>
                  </a:solidFill>
                  <a:round/>
                </a:ln>
                <a:effectLst/>
              </c:spPr>
            </c:marker>
            <c:bubble3D val="0"/>
            <c:spPr>
              <a:ln w="25400" cap="rnd">
                <a:noFill/>
                <a:round/>
              </a:ln>
              <a:effectLst/>
            </c:spPr>
            <c:extLst>
              <c:ext xmlns:c16="http://schemas.microsoft.com/office/drawing/2014/chart" uri="{C3380CC4-5D6E-409C-BE32-E72D297353CC}">
                <c16:uniqueId val="{0000012D-37F9-40EA-A76B-0D54D13FE724}"/>
              </c:ext>
            </c:extLst>
          </c:dPt>
          <c:dPt>
            <c:idx val="151"/>
            <c:marker>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w="9525">
                  <a:solidFill>
                    <a:schemeClr val="accent2">
                      <a:lumMod val="70000"/>
                    </a:schemeClr>
                  </a:solidFill>
                  <a:round/>
                </a:ln>
                <a:effectLst/>
              </c:spPr>
            </c:marker>
            <c:bubble3D val="0"/>
            <c:spPr>
              <a:ln w="25400" cap="rnd">
                <a:noFill/>
                <a:round/>
              </a:ln>
              <a:effectLst/>
            </c:spPr>
            <c:extLst>
              <c:ext xmlns:c16="http://schemas.microsoft.com/office/drawing/2014/chart" uri="{C3380CC4-5D6E-409C-BE32-E72D297353CC}">
                <c16:uniqueId val="{0000012F-37F9-40EA-A76B-0D54D13FE724}"/>
              </c:ext>
            </c:extLst>
          </c:dPt>
          <c:dPt>
            <c:idx val="152"/>
            <c:marker>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w="9525">
                  <a:solidFill>
                    <a:schemeClr val="accent3">
                      <a:lumMod val="70000"/>
                    </a:schemeClr>
                  </a:solidFill>
                  <a:round/>
                </a:ln>
                <a:effectLst/>
              </c:spPr>
            </c:marker>
            <c:bubble3D val="0"/>
            <c:spPr>
              <a:ln w="25400" cap="rnd">
                <a:noFill/>
                <a:round/>
              </a:ln>
              <a:effectLst/>
            </c:spPr>
            <c:extLst>
              <c:ext xmlns:c16="http://schemas.microsoft.com/office/drawing/2014/chart" uri="{C3380CC4-5D6E-409C-BE32-E72D297353CC}">
                <c16:uniqueId val="{00000131-37F9-40EA-A76B-0D54D13FE724}"/>
              </c:ext>
            </c:extLst>
          </c:dPt>
          <c:dPt>
            <c:idx val="153"/>
            <c:marker>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w="9525">
                  <a:solidFill>
                    <a:schemeClr val="accent4">
                      <a:lumMod val="70000"/>
                    </a:schemeClr>
                  </a:solidFill>
                  <a:round/>
                </a:ln>
                <a:effectLst/>
              </c:spPr>
            </c:marker>
            <c:bubble3D val="0"/>
            <c:spPr>
              <a:ln w="25400" cap="rnd">
                <a:noFill/>
                <a:round/>
              </a:ln>
              <a:effectLst/>
            </c:spPr>
            <c:extLst>
              <c:ext xmlns:c16="http://schemas.microsoft.com/office/drawing/2014/chart" uri="{C3380CC4-5D6E-409C-BE32-E72D297353CC}">
                <c16:uniqueId val="{00000133-37F9-40EA-A76B-0D54D13FE724}"/>
              </c:ext>
            </c:extLst>
          </c:dPt>
          <c:dPt>
            <c:idx val="154"/>
            <c:marker>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w="9525">
                  <a:solidFill>
                    <a:schemeClr val="accent5">
                      <a:lumMod val="70000"/>
                    </a:schemeClr>
                  </a:solidFill>
                  <a:round/>
                </a:ln>
                <a:effectLst/>
              </c:spPr>
            </c:marker>
            <c:bubble3D val="0"/>
            <c:spPr>
              <a:ln w="25400" cap="rnd">
                <a:noFill/>
                <a:round/>
              </a:ln>
              <a:effectLst/>
            </c:spPr>
            <c:extLst>
              <c:ext xmlns:c16="http://schemas.microsoft.com/office/drawing/2014/chart" uri="{C3380CC4-5D6E-409C-BE32-E72D297353CC}">
                <c16:uniqueId val="{00000135-37F9-40EA-A76B-0D54D13FE724}"/>
              </c:ext>
            </c:extLst>
          </c:dPt>
          <c:dPt>
            <c:idx val="155"/>
            <c:marker>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w="9525">
                  <a:solidFill>
                    <a:schemeClr val="accent6">
                      <a:lumMod val="70000"/>
                    </a:schemeClr>
                  </a:solidFill>
                  <a:round/>
                </a:ln>
                <a:effectLst/>
              </c:spPr>
            </c:marker>
            <c:bubble3D val="0"/>
            <c:spPr>
              <a:ln w="25400" cap="rnd">
                <a:noFill/>
                <a:round/>
              </a:ln>
              <a:effectLst/>
            </c:spPr>
            <c:extLst>
              <c:ext xmlns:c16="http://schemas.microsoft.com/office/drawing/2014/chart" uri="{C3380CC4-5D6E-409C-BE32-E72D297353CC}">
                <c16:uniqueId val="{00000137-37F9-40EA-A76B-0D54D13FE724}"/>
              </c:ext>
            </c:extLst>
          </c:dPt>
          <c:dPt>
            <c:idx val="156"/>
            <c:marker>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w="9525">
                  <a:solidFill>
                    <a:schemeClr val="accent1">
                      <a:lumMod val="50000"/>
                      <a:lumOff val="50000"/>
                    </a:schemeClr>
                  </a:solidFill>
                  <a:round/>
                </a:ln>
                <a:effectLst/>
              </c:spPr>
            </c:marker>
            <c:bubble3D val="0"/>
            <c:spPr>
              <a:ln w="25400" cap="rnd">
                <a:noFill/>
                <a:round/>
              </a:ln>
              <a:effectLst/>
            </c:spPr>
            <c:extLst>
              <c:ext xmlns:c16="http://schemas.microsoft.com/office/drawing/2014/chart" uri="{C3380CC4-5D6E-409C-BE32-E72D297353CC}">
                <c16:uniqueId val="{00000139-37F9-40EA-A76B-0D54D13FE724}"/>
              </c:ext>
            </c:extLst>
          </c:dPt>
          <c:dPt>
            <c:idx val="157"/>
            <c:marker>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w="9525">
                  <a:solidFill>
                    <a:schemeClr val="accent2">
                      <a:lumMod val="50000"/>
                      <a:lumOff val="50000"/>
                    </a:schemeClr>
                  </a:solidFill>
                  <a:round/>
                </a:ln>
                <a:effectLst/>
              </c:spPr>
            </c:marker>
            <c:bubble3D val="0"/>
            <c:spPr>
              <a:ln w="25400" cap="rnd">
                <a:noFill/>
                <a:round/>
              </a:ln>
              <a:effectLst/>
            </c:spPr>
            <c:extLst>
              <c:ext xmlns:c16="http://schemas.microsoft.com/office/drawing/2014/chart" uri="{C3380CC4-5D6E-409C-BE32-E72D297353CC}">
                <c16:uniqueId val="{0000013B-37F9-40EA-A76B-0D54D13FE724}"/>
              </c:ext>
            </c:extLst>
          </c:dPt>
          <c:dPt>
            <c:idx val="158"/>
            <c:marker>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w="9525">
                  <a:solidFill>
                    <a:schemeClr val="accent3">
                      <a:lumMod val="50000"/>
                      <a:lumOff val="50000"/>
                    </a:schemeClr>
                  </a:solidFill>
                  <a:round/>
                </a:ln>
                <a:effectLst/>
              </c:spPr>
            </c:marker>
            <c:bubble3D val="0"/>
            <c:spPr>
              <a:ln w="25400" cap="rnd">
                <a:noFill/>
                <a:round/>
              </a:ln>
              <a:effectLst/>
            </c:spPr>
            <c:extLst>
              <c:ext xmlns:c16="http://schemas.microsoft.com/office/drawing/2014/chart" uri="{C3380CC4-5D6E-409C-BE32-E72D297353CC}">
                <c16:uniqueId val="{0000013D-37F9-40EA-A76B-0D54D13FE724}"/>
              </c:ext>
            </c:extLst>
          </c:dPt>
          <c:dPt>
            <c:idx val="159"/>
            <c:marker>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w="9525">
                  <a:solidFill>
                    <a:schemeClr val="accent4">
                      <a:lumMod val="50000"/>
                      <a:lumOff val="50000"/>
                    </a:schemeClr>
                  </a:solidFill>
                  <a:round/>
                </a:ln>
                <a:effectLst/>
              </c:spPr>
            </c:marker>
            <c:bubble3D val="0"/>
            <c:spPr>
              <a:ln w="25400" cap="rnd">
                <a:noFill/>
                <a:round/>
              </a:ln>
              <a:effectLst/>
            </c:spPr>
            <c:extLst>
              <c:ext xmlns:c16="http://schemas.microsoft.com/office/drawing/2014/chart" uri="{C3380CC4-5D6E-409C-BE32-E72D297353CC}">
                <c16:uniqueId val="{0000013F-37F9-40EA-A76B-0D54D13FE724}"/>
              </c:ext>
            </c:extLst>
          </c:dPt>
          <c:dPt>
            <c:idx val="160"/>
            <c:marker>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w="9525">
                  <a:solidFill>
                    <a:schemeClr val="accent5">
                      <a:lumMod val="50000"/>
                      <a:lumOff val="50000"/>
                    </a:schemeClr>
                  </a:solidFill>
                  <a:round/>
                </a:ln>
                <a:effectLst/>
              </c:spPr>
            </c:marker>
            <c:bubble3D val="0"/>
            <c:spPr>
              <a:ln w="25400" cap="rnd">
                <a:noFill/>
                <a:round/>
              </a:ln>
              <a:effectLst/>
            </c:spPr>
            <c:extLst>
              <c:ext xmlns:c16="http://schemas.microsoft.com/office/drawing/2014/chart" uri="{C3380CC4-5D6E-409C-BE32-E72D297353CC}">
                <c16:uniqueId val="{00000141-37F9-40EA-A76B-0D54D13FE724}"/>
              </c:ext>
            </c:extLst>
          </c:dPt>
          <c:dPt>
            <c:idx val="161"/>
            <c:marker>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w="9525">
                  <a:solidFill>
                    <a:schemeClr val="accent6">
                      <a:lumMod val="50000"/>
                      <a:lumOff val="50000"/>
                    </a:schemeClr>
                  </a:solidFill>
                  <a:round/>
                </a:ln>
                <a:effectLst/>
              </c:spPr>
            </c:marker>
            <c:bubble3D val="0"/>
            <c:spPr>
              <a:ln w="25400" cap="rnd">
                <a:noFill/>
                <a:round/>
              </a:ln>
              <a:effectLst/>
            </c:spPr>
            <c:extLst>
              <c:ext xmlns:c16="http://schemas.microsoft.com/office/drawing/2014/chart" uri="{C3380CC4-5D6E-409C-BE32-E72D297353CC}">
                <c16:uniqueId val="{00000143-37F9-40EA-A76B-0D54D13FE724}"/>
              </c:ext>
            </c:extLst>
          </c:dPt>
          <c:dPt>
            <c:idx val="162"/>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bubble3D val="0"/>
            <c:spPr>
              <a:ln w="25400" cap="rnd">
                <a:noFill/>
                <a:round/>
              </a:ln>
              <a:effectLst/>
            </c:spPr>
            <c:extLst>
              <c:ext xmlns:c16="http://schemas.microsoft.com/office/drawing/2014/chart" uri="{C3380CC4-5D6E-409C-BE32-E72D297353CC}">
                <c16:uniqueId val="{00000145-37F9-40EA-A76B-0D54D13FE724}"/>
              </c:ext>
            </c:extLst>
          </c:dPt>
          <c:dPt>
            <c:idx val="163"/>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bubble3D val="0"/>
            <c:spPr>
              <a:ln w="25400" cap="rnd">
                <a:noFill/>
                <a:round/>
              </a:ln>
              <a:effectLst/>
            </c:spPr>
            <c:extLst>
              <c:ext xmlns:c16="http://schemas.microsoft.com/office/drawing/2014/chart" uri="{C3380CC4-5D6E-409C-BE32-E72D297353CC}">
                <c16:uniqueId val="{00000147-37F9-40EA-A76B-0D54D13FE724}"/>
              </c:ext>
            </c:extLst>
          </c:dPt>
          <c:dPt>
            <c:idx val="164"/>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c:spPr>
            </c:marker>
            <c:bubble3D val="0"/>
            <c:spPr>
              <a:ln w="25400" cap="rnd">
                <a:noFill/>
                <a:round/>
              </a:ln>
              <a:effectLst/>
            </c:spPr>
            <c:extLst>
              <c:ext xmlns:c16="http://schemas.microsoft.com/office/drawing/2014/chart" uri="{C3380CC4-5D6E-409C-BE32-E72D297353CC}">
                <c16:uniqueId val="{00000149-37F9-40EA-A76B-0D54D13FE724}"/>
              </c:ext>
            </c:extLst>
          </c:dPt>
          <c:dPt>
            <c:idx val="165"/>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c:spPr>
            </c:marker>
            <c:bubble3D val="0"/>
            <c:spPr>
              <a:ln w="25400" cap="rnd">
                <a:noFill/>
                <a:round/>
              </a:ln>
              <a:effectLst/>
            </c:spPr>
            <c:extLst>
              <c:ext xmlns:c16="http://schemas.microsoft.com/office/drawing/2014/chart" uri="{C3380CC4-5D6E-409C-BE32-E72D297353CC}">
                <c16:uniqueId val="{0000014B-37F9-40EA-A76B-0D54D13FE724}"/>
              </c:ext>
            </c:extLst>
          </c:dPt>
          <c:dPt>
            <c:idx val="166"/>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c:spPr>
            </c:marker>
            <c:bubble3D val="0"/>
            <c:spPr>
              <a:ln w="25400" cap="rnd">
                <a:noFill/>
                <a:round/>
              </a:ln>
              <a:effectLst/>
            </c:spPr>
            <c:extLst>
              <c:ext xmlns:c16="http://schemas.microsoft.com/office/drawing/2014/chart" uri="{C3380CC4-5D6E-409C-BE32-E72D297353CC}">
                <c16:uniqueId val="{0000014D-37F9-40EA-A76B-0D54D13FE724}"/>
              </c:ext>
            </c:extLst>
          </c:dPt>
          <c:dPt>
            <c:idx val="167"/>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c:spPr>
            </c:marker>
            <c:bubble3D val="0"/>
            <c:spPr>
              <a:ln w="25400" cap="rnd">
                <a:noFill/>
                <a:round/>
              </a:ln>
              <a:effectLst/>
            </c:spPr>
            <c:extLst>
              <c:ext xmlns:c16="http://schemas.microsoft.com/office/drawing/2014/chart" uri="{C3380CC4-5D6E-409C-BE32-E72D297353CC}">
                <c16:uniqueId val="{0000014F-37F9-40EA-A76B-0D54D13FE724}"/>
              </c:ext>
            </c:extLst>
          </c:dPt>
          <c:dPt>
            <c:idx val="168"/>
            <c:marker>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c:spPr>
            </c:marker>
            <c:bubble3D val="0"/>
            <c:spPr>
              <a:ln w="25400" cap="rnd">
                <a:noFill/>
                <a:round/>
              </a:ln>
              <a:effectLst/>
            </c:spPr>
            <c:extLst>
              <c:ext xmlns:c16="http://schemas.microsoft.com/office/drawing/2014/chart" uri="{C3380CC4-5D6E-409C-BE32-E72D297353CC}">
                <c16:uniqueId val="{00000151-37F9-40EA-A76B-0D54D13FE724}"/>
              </c:ext>
            </c:extLst>
          </c:dPt>
          <c:dPt>
            <c:idx val="169"/>
            <c:marker>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c:spPr>
            </c:marker>
            <c:bubble3D val="0"/>
            <c:spPr>
              <a:ln w="25400" cap="rnd">
                <a:noFill/>
                <a:round/>
              </a:ln>
              <a:effectLst/>
            </c:spPr>
            <c:extLst>
              <c:ext xmlns:c16="http://schemas.microsoft.com/office/drawing/2014/chart" uri="{C3380CC4-5D6E-409C-BE32-E72D297353CC}">
                <c16:uniqueId val="{00000153-37F9-40EA-A76B-0D54D13FE724}"/>
              </c:ext>
            </c:extLst>
          </c:dPt>
          <c:dPt>
            <c:idx val="170"/>
            <c:marker>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c:spPr>
            </c:marker>
            <c:bubble3D val="0"/>
            <c:spPr>
              <a:ln w="25400" cap="rnd">
                <a:noFill/>
                <a:round/>
              </a:ln>
              <a:effectLst/>
            </c:spPr>
            <c:extLst>
              <c:ext xmlns:c16="http://schemas.microsoft.com/office/drawing/2014/chart" uri="{C3380CC4-5D6E-409C-BE32-E72D297353CC}">
                <c16:uniqueId val="{00000155-37F9-40EA-A76B-0D54D13FE724}"/>
              </c:ext>
            </c:extLst>
          </c:dPt>
          <c:dPt>
            <c:idx val="171"/>
            <c:marker>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c:spPr>
            </c:marker>
            <c:bubble3D val="0"/>
            <c:spPr>
              <a:ln w="25400" cap="rnd">
                <a:noFill/>
                <a:round/>
              </a:ln>
              <a:effectLst/>
            </c:spPr>
            <c:extLst>
              <c:ext xmlns:c16="http://schemas.microsoft.com/office/drawing/2014/chart" uri="{C3380CC4-5D6E-409C-BE32-E72D297353CC}">
                <c16:uniqueId val="{00000157-37F9-40EA-A76B-0D54D13FE724}"/>
              </c:ext>
            </c:extLst>
          </c:dPt>
          <c:dPt>
            <c:idx val="172"/>
            <c:marker>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c:spPr>
            </c:marker>
            <c:bubble3D val="0"/>
            <c:spPr>
              <a:ln w="25400" cap="rnd">
                <a:noFill/>
                <a:round/>
              </a:ln>
              <a:effectLst/>
            </c:spPr>
            <c:extLst>
              <c:ext xmlns:c16="http://schemas.microsoft.com/office/drawing/2014/chart" uri="{C3380CC4-5D6E-409C-BE32-E72D297353CC}">
                <c16:uniqueId val="{00000159-37F9-40EA-A76B-0D54D13FE724}"/>
              </c:ext>
            </c:extLst>
          </c:dPt>
          <c:dPt>
            <c:idx val="173"/>
            <c:marker>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c:spPr>
            </c:marker>
            <c:bubble3D val="0"/>
            <c:spPr>
              <a:ln w="25400" cap="rnd">
                <a:noFill/>
                <a:round/>
              </a:ln>
              <a:effectLst/>
            </c:spPr>
            <c:extLst>
              <c:ext xmlns:c16="http://schemas.microsoft.com/office/drawing/2014/chart" uri="{C3380CC4-5D6E-409C-BE32-E72D297353CC}">
                <c16:uniqueId val="{0000015B-37F9-40EA-A76B-0D54D13FE724}"/>
              </c:ext>
            </c:extLst>
          </c:dPt>
          <c:dPt>
            <c:idx val="174"/>
            <c:marker>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15D-37F9-40EA-A76B-0D54D13FE724}"/>
              </c:ext>
            </c:extLst>
          </c:dPt>
          <c:dPt>
            <c:idx val="175"/>
            <c:marker>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15F-37F9-40EA-A76B-0D54D13FE724}"/>
              </c:ext>
            </c:extLst>
          </c:dPt>
          <c:dPt>
            <c:idx val="176"/>
            <c:marker>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161-37F9-40EA-A76B-0D54D13FE724}"/>
              </c:ext>
            </c:extLst>
          </c:dPt>
          <c:dPt>
            <c:idx val="177"/>
            <c:marker>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163-37F9-40EA-A76B-0D54D13FE724}"/>
              </c:ext>
            </c:extLst>
          </c:dPt>
          <c:dPt>
            <c:idx val="178"/>
            <c:marker>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165-37F9-40EA-A76B-0D54D13FE724}"/>
              </c:ext>
            </c:extLst>
          </c:dPt>
          <c:dPt>
            <c:idx val="179"/>
            <c:marker>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c:spPr>
            </c:marker>
            <c:bubble3D val="0"/>
            <c:spPr>
              <a:ln w="25400" cap="rnd">
                <a:noFill/>
                <a:round/>
              </a:ln>
              <a:effectLst/>
            </c:spPr>
            <c:extLst>
              <c:ext xmlns:c16="http://schemas.microsoft.com/office/drawing/2014/chart" uri="{C3380CC4-5D6E-409C-BE32-E72D297353CC}">
                <c16:uniqueId val="{00000167-37F9-40EA-A76B-0D54D13FE724}"/>
              </c:ext>
            </c:extLst>
          </c:dPt>
          <c:dPt>
            <c:idx val="180"/>
            <c:marker>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c:spPr>
            </c:marker>
            <c:bubble3D val="0"/>
            <c:spPr>
              <a:ln w="25400" cap="rnd">
                <a:noFill/>
                <a:round/>
              </a:ln>
              <a:effectLst/>
            </c:spPr>
            <c:extLst>
              <c:ext xmlns:c16="http://schemas.microsoft.com/office/drawing/2014/chart" uri="{C3380CC4-5D6E-409C-BE32-E72D297353CC}">
                <c16:uniqueId val="{00000169-37F9-40EA-A76B-0D54D13FE724}"/>
              </c:ext>
            </c:extLst>
          </c:dPt>
          <c:dPt>
            <c:idx val="181"/>
            <c:marker>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c:spPr>
            </c:marker>
            <c:bubble3D val="0"/>
            <c:spPr>
              <a:ln w="25400" cap="rnd">
                <a:noFill/>
                <a:round/>
              </a:ln>
              <a:effectLst/>
            </c:spPr>
            <c:extLst>
              <c:ext xmlns:c16="http://schemas.microsoft.com/office/drawing/2014/chart" uri="{C3380CC4-5D6E-409C-BE32-E72D297353CC}">
                <c16:uniqueId val="{0000016B-37F9-40EA-A76B-0D54D13FE724}"/>
              </c:ext>
            </c:extLst>
          </c:dPt>
          <c:dPt>
            <c:idx val="182"/>
            <c:marker>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c:spPr>
            </c:marker>
            <c:bubble3D val="0"/>
            <c:spPr>
              <a:ln w="25400" cap="rnd">
                <a:noFill/>
                <a:round/>
              </a:ln>
              <a:effectLst/>
            </c:spPr>
            <c:extLst>
              <c:ext xmlns:c16="http://schemas.microsoft.com/office/drawing/2014/chart" uri="{C3380CC4-5D6E-409C-BE32-E72D297353CC}">
                <c16:uniqueId val="{0000016D-37F9-40EA-A76B-0D54D13FE724}"/>
              </c:ext>
            </c:extLst>
          </c:dPt>
          <c:dPt>
            <c:idx val="183"/>
            <c:marker>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c:spPr>
            </c:marker>
            <c:bubble3D val="0"/>
            <c:spPr>
              <a:ln w="25400" cap="rnd">
                <a:noFill/>
                <a:round/>
              </a:ln>
              <a:effectLst/>
            </c:spPr>
            <c:extLst>
              <c:ext xmlns:c16="http://schemas.microsoft.com/office/drawing/2014/chart" uri="{C3380CC4-5D6E-409C-BE32-E72D297353CC}">
                <c16:uniqueId val="{0000016F-37F9-40EA-A76B-0D54D13FE724}"/>
              </c:ext>
            </c:extLst>
          </c:dPt>
          <c:dPt>
            <c:idx val="184"/>
            <c:marker>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c:spPr>
            </c:marker>
            <c:bubble3D val="0"/>
            <c:spPr>
              <a:ln w="25400" cap="rnd">
                <a:noFill/>
                <a:round/>
              </a:ln>
              <a:effectLst/>
            </c:spPr>
            <c:extLst>
              <c:ext xmlns:c16="http://schemas.microsoft.com/office/drawing/2014/chart" uri="{C3380CC4-5D6E-409C-BE32-E72D297353CC}">
                <c16:uniqueId val="{00000171-37F9-40EA-A76B-0D54D13FE724}"/>
              </c:ext>
            </c:extLst>
          </c:dPt>
          <c:dPt>
            <c:idx val="185"/>
            <c:marker>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c:spPr>
            </c:marker>
            <c:bubble3D val="0"/>
            <c:spPr>
              <a:ln w="25400" cap="rnd">
                <a:noFill/>
                <a:round/>
              </a:ln>
              <a:effectLst/>
            </c:spPr>
            <c:extLst>
              <c:ext xmlns:c16="http://schemas.microsoft.com/office/drawing/2014/chart" uri="{C3380CC4-5D6E-409C-BE32-E72D297353CC}">
                <c16:uniqueId val="{00000173-37F9-40EA-A76B-0D54D13FE724}"/>
              </c:ext>
            </c:extLst>
          </c:dPt>
          <c:dPt>
            <c:idx val="186"/>
            <c:marker>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175-37F9-40EA-A76B-0D54D13FE724}"/>
              </c:ext>
            </c:extLst>
          </c:dPt>
          <c:dPt>
            <c:idx val="187"/>
            <c:marker>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a:solidFill>
                    <a:schemeClr val="accent2">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177-37F9-40EA-A76B-0D54D13FE724}"/>
              </c:ext>
            </c:extLst>
          </c:dPt>
          <c:dPt>
            <c:idx val="188"/>
            <c:marker>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9525">
                  <a:solidFill>
                    <a:schemeClr val="accent3">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179-37F9-40EA-A76B-0D54D13FE724}"/>
              </c:ext>
            </c:extLst>
          </c:dPt>
          <c:dPt>
            <c:idx val="189"/>
            <c:marker>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9525">
                  <a:solidFill>
                    <a:schemeClr val="accent4">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17B-37F9-40EA-A76B-0D54D13FE724}"/>
              </c:ext>
            </c:extLst>
          </c:dPt>
          <c:dPt>
            <c:idx val="190"/>
            <c:marker>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9525">
                  <a:solidFill>
                    <a:schemeClr val="accent5">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17D-37F9-40EA-A76B-0D54D13FE724}"/>
              </c:ext>
            </c:extLst>
          </c:dPt>
          <c:dPt>
            <c:idx val="191"/>
            <c:marker>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w="9525">
                  <a:solidFill>
                    <a:schemeClr val="accent6">
                      <a:lumMod val="60000"/>
                      <a:lumOff val="40000"/>
                    </a:schemeClr>
                  </a:solidFill>
                  <a:round/>
                </a:ln>
                <a:effectLst/>
              </c:spPr>
            </c:marker>
            <c:bubble3D val="0"/>
            <c:spPr>
              <a:ln w="25400" cap="rnd">
                <a:noFill/>
                <a:round/>
              </a:ln>
              <a:effectLst/>
            </c:spPr>
            <c:extLst>
              <c:ext xmlns:c16="http://schemas.microsoft.com/office/drawing/2014/chart" uri="{C3380CC4-5D6E-409C-BE32-E72D297353CC}">
                <c16:uniqueId val="{0000017F-37F9-40EA-A76B-0D54D13FE724}"/>
              </c:ext>
            </c:extLst>
          </c:dPt>
          <c:dPt>
            <c:idx val="192"/>
            <c:marker>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w="9525">
                  <a:solidFill>
                    <a:schemeClr val="accent1">
                      <a:lumMod val="50000"/>
                    </a:schemeClr>
                  </a:solidFill>
                  <a:round/>
                </a:ln>
                <a:effectLst/>
              </c:spPr>
            </c:marker>
            <c:bubble3D val="0"/>
            <c:spPr>
              <a:ln w="25400" cap="rnd">
                <a:noFill/>
                <a:round/>
              </a:ln>
              <a:effectLst/>
            </c:spPr>
            <c:extLst>
              <c:ext xmlns:c16="http://schemas.microsoft.com/office/drawing/2014/chart" uri="{C3380CC4-5D6E-409C-BE32-E72D297353CC}">
                <c16:uniqueId val="{00000181-37F9-40EA-A76B-0D54D13FE724}"/>
              </c:ext>
            </c:extLst>
          </c:dPt>
          <c:dPt>
            <c:idx val="193"/>
            <c:marker>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w="9525">
                  <a:solidFill>
                    <a:schemeClr val="accent2">
                      <a:lumMod val="50000"/>
                    </a:schemeClr>
                  </a:solidFill>
                  <a:round/>
                </a:ln>
                <a:effectLst/>
              </c:spPr>
            </c:marker>
            <c:bubble3D val="0"/>
            <c:spPr>
              <a:ln w="25400" cap="rnd">
                <a:noFill/>
                <a:round/>
              </a:ln>
              <a:effectLst/>
            </c:spPr>
            <c:extLst>
              <c:ext xmlns:c16="http://schemas.microsoft.com/office/drawing/2014/chart" uri="{C3380CC4-5D6E-409C-BE32-E72D297353CC}">
                <c16:uniqueId val="{00000183-37F9-40EA-A76B-0D54D13FE724}"/>
              </c:ext>
            </c:extLst>
          </c:dPt>
          <c:dPt>
            <c:idx val="194"/>
            <c:marker>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w="9525">
                  <a:solidFill>
                    <a:schemeClr val="accent3">
                      <a:lumMod val="50000"/>
                    </a:schemeClr>
                  </a:solidFill>
                  <a:round/>
                </a:ln>
                <a:effectLst/>
              </c:spPr>
            </c:marker>
            <c:bubble3D val="0"/>
            <c:spPr>
              <a:ln w="25400" cap="rnd">
                <a:noFill/>
                <a:round/>
              </a:ln>
              <a:effectLst/>
            </c:spPr>
            <c:extLst>
              <c:ext xmlns:c16="http://schemas.microsoft.com/office/drawing/2014/chart" uri="{C3380CC4-5D6E-409C-BE32-E72D297353CC}">
                <c16:uniqueId val="{00000185-37F9-40EA-A76B-0D54D13FE724}"/>
              </c:ext>
            </c:extLst>
          </c:dPt>
          <c:dPt>
            <c:idx val="195"/>
            <c:marker>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w="9525">
                  <a:solidFill>
                    <a:schemeClr val="accent4">
                      <a:lumMod val="50000"/>
                    </a:schemeClr>
                  </a:solidFill>
                  <a:round/>
                </a:ln>
                <a:effectLst/>
              </c:spPr>
            </c:marker>
            <c:bubble3D val="0"/>
            <c:spPr>
              <a:ln w="25400" cap="rnd">
                <a:noFill/>
                <a:round/>
              </a:ln>
              <a:effectLst/>
            </c:spPr>
            <c:extLst>
              <c:ext xmlns:c16="http://schemas.microsoft.com/office/drawing/2014/chart" uri="{C3380CC4-5D6E-409C-BE32-E72D297353CC}">
                <c16:uniqueId val="{00000187-37F9-40EA-A76B-0D54D13FE724}"/>
              </c:ext>
            </c:extLst>
          </c:dPt>
          <c:dPt>
            <c:idx val="196"/>
            <c:marker>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w="9525">
                  <a:solidFill>
                    <a:schemeClr val="accent5">
                      <a:lumMod val="50000"/>
                    </a:schemeClr>
                  </a:solidFill>
                  <a:round/>
                </a:ln>
                <a:effectLst/>
              </c:spPr>
            </c:marker>
            <c:bubble3D val="0"/>
            <c:spPr>
              <a:ln w="25400" cap="rnd">
                <a:noFill/>
                <a:round/>
              </a:ln>
              <a:effectLst/>
            </c:spPr>
            <c:extLst>
              <c:ext xmlns:c16="http://schemas.microsoft.com/office/drawing/2014/chart" uri="{C3380CC4-5D6E-409C-BE32-E72D297353CC}">
                <c16:uniqueId val="{00000189-37F9-40EA-A76B-0D54D13FE724}"/>
              </c:ext>
            </c:extLst>
          </c:dPt>
          <c:dPt>
            <c:idx val="197"/>
            <c:marker>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w="9525">
                  <a:solidFill>
                    <a:schemeClr val="accent6">
                      <a:lumMod val="50000"/>
                    </a:schemeClr>
                  </a:solidFill>
                  <a:round/>
                </a:ln>
                <a:effectLst/>
              </c:spPr>
            </c:marker>
            <c:bubble3D val="0"/>
            <c:spPr>
              <a:ln w="25400" cap="rnd">
                <a:noFill/>
                <a:round/>
              </a:ln>
              <a:effectLst/>
            </c:spPr>
            <c:extLst>
              <c:ext xmlns:c16="http://schemas.microsoft.com/office/drawing/2014/chart" uri="{C3380CC4-5D6E-409C-BE32-E72D297353CC}">
                <c16:uniqueId val="{0000018B-37F9-40EA-A76B-0D54D13FE724}"/>
              </c:ext>
            </c:extLst>
          </c:dPt>
          <c:dPt>
            <c:idx val="198"/>
            <c:marker>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w="9525">
                  <a:solidFill>
                    <a:schemeClr val="accent1">
                      <a:lumMod val="70000"/>
                      <a:lumOff val="30000"/>
                    </a:schemeClr>
                  </a:solidFill>
                  <a:round/>
                </a:ln>
                <a:effectLst/>
              </c:spPr>
            </c:marker>
            <c:bubble3D val="0"/>
            <c:spPr>
              <a:ln w="25400" cap="rnd">
                <a:noFill/>
                <a:round/>
              </a:ln>
              <a:effectLst/>
            </c:spPr>
            <c:extLst>
              <c:ext xmlns:c16="http://schemas.microsoft.com/office/drawing/2014/chart" uri="{C3380CC4-5D6E-409C-BE32-E72D297353CC}">
                <c16:uniqueId val="{0000018D-37F9-40EA-A76B-0D54D13FE724}"/>
              </c:ext>
            </c:extLst>
          </c:dPt>
          <c:dPt>
            <c:idx val="199"/>
            <c:marker>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w="9525">
                  <a:solidFill>
                    <a:schemeClr val="accent2">
                      <a:lumMod val="70000"/>
                      <a:lumOff val="30000"/>
                    </a:schemeClr>
                  </a:solidFill>
                  <a:round/>
                </a:ln>
                <a:effectLst/>
              </c:spPr>
            </c:marker>
            <c:bubble3D val="0"/>
            <c:spPr>
              <a:ln w="25400" cap="rnd">
                <a:noFill/>
                <a:round/>
              </a:ln>
              <a:effectLst/>
            </c:spPr>
            <c:extLst>
              <c:ext xmlns:c16="http://schemas.microsoft.com/office/drawing/2014/chart" uri="{C3380CC4-5D6E-409C-BE32-E72D297353CC}">
                <c16:uniqueId val="{0000018F-37F9-40EA-A76B-0D54D13FE724}"/>
              </c:ext>
            </c:extLst>
          </c:dPt>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forward val="2"/>
            <c:dispRSqr val="0"/>
            <c:dispEq val="0"/>
          </c:trendline>
          <c:trendline>
            <c:spPr>
              <a:ln w="9525" cap="rnd">
                <a:solidFill>
                  <a:schemeClr val="tx1">
                    <a:lumMod val="65000"/>
                    <a:lumOff val="35000"/>
                  </a:schemeClr>
                </a:solidFill>
              </a:ln>
              <a:effectLst/>
            </c:spPr>
            <c:trendlineType val="linear"/>
            <c:dispRSqr val="0"/>
            <c:dispEq val="0"/>
          </c:trendline>
          <c:xVal>
            <c:numRef>
              <c:f>'Engagement Summary'!$G$2:$G$201</c:f>
              <c:numCache>
                <c:formatCode>General</c:formatCode>
                <c:ptCount val="200"/>
                <c:pt idx="0">
                  <c:v>5904</c:v>
                </c:pt>
                <c:pt idx="1">
                  <c:v>9566</c:v>
                </c:pt>
                <c:pt idx="2">
                  <c:v>26752</c:v>
                </c:pt>
                <c:pt idx="3">
                  <c:v>30671</c:v>
                </c:pt>
                <c:pt idx="4">
                  <c:v>9920</c:v>
                </c:pt>
                <c:pt idx="5">
                  <c:v>7924</c:v>
                </c:pt>
                <c:pt idx="6">
                  <c:v>8912</c:v>
                </c:pt>
                <c:pt idx="7">
                  <c:v>21205</c:v>
                </c:pt>
                <c:pt idx="8">
                  <c:v>11329</c:v>
                </c:pt>
                <c:pt idx="9">
                  <c:v>46670</c:v>
                </c:pt>
                <c:pt idx="10">
                  <c:v>22482</c:v>
                </c:pt>
                <c:pt idx="11">
                  <c:v>24313</c:v>
                </c:pt>
                <c:pt idx="12">
                  <c:v>18050</c:v>
                </c:pt>
                <c:pt idx="13">
                  <c:v>30635</c:v>
                </c:pt>
                <c:pt idx="14">
                  <c:v>31280</c:v>
                </c:pt>
                <c:pt idx="15">
                  <c:v>1783</c:v>
                </c:pt>
                <c:pt idx="16">
                  <c:v>9566</c:v>
                </c:pt>
                <c:pt idx="17">
                  <c:v>42307</c:v>
                </c:pt>
                <c:pt idx="18">
                  <c:v>5914</c:v>
                </c:pt>
                <c:pt idx="19">
                  <c:v>30060</c:v>
                </c:pt>
                <c:pt idx="20">
                  <c:v>22728</c:v>
                </c:pt>
                <c:pt idx="21">
                  <c:v>38610</c:v>
                </c:pt>
                <c:pt idx="22">
                  <c:v>2932</c:v>
                </c:pt>
                <c:pt idx="23">
                  <c:v>15071</c:v>
                </c:pt>
                <c:pt idx="24">
                  <c:v>10740</c:v>
                </c:pt>
                <c:pt idx="25">
                  <c:v>43420</c:v>
                </c:pt>
                <c:pt idx="26">
                  <c:v>32393</c:v>
                </c:pt>
                <c:pt idx="27">
                  <c:v>28474</c:v>
                </c:pt>
                <c:pt idx="28">
                  <c:v>17328</c:v>
                </c:pt>
                <c:pt idx="29">
                  <c:v>26067</c:v>
                </c:pt>
                <c:pt idx="30">
                  <c:v>32763</c:v>
                </c:pt>
                <c:pt idx="31">
                  <c:v>26452</c:v>
                </c:pt>
                <c:pt idx="32">
                  <c:v>15353</c:v>
                </c:pt>
                <c:pt idx="33">
                  <c:v>4839</c:v>
                </c:pt>
                <c:pt idx="34">
                  <c:v>39272</c:v>
                </c:pt>
                <c:pt idx="35">
                  <c:v>16804</c:v>
                </c:pt>
                <c:pt idx="36">
                  <c:v>49303</c:v>
                </c:pt>
                <c:pt idx="37">
                  <c:v>26455</c:v>
                </c:pt>
                <c:pt idx="38">
                  <c:v>12384</c:v>
                </c:pt>
                <c:pt idx="39">
                  <c:v>49372</c:v>
                </c:pt>
                <c:pt idx="40">
                  <c:v>47101</c:v>
                </c:pt>
                <c:pt idx="41">
                  <c:v>37903</c:v>
                </c:pt>
                <c:pt idx="42">
                  <c:v>33258</c:v>
                </c:pt>
                <c:pt idx="43">
                  <c:v>6915</c:v>
                </c:pt>
                <c:pt idx="44">
                  <c:v>35501</c:v>
                </c:pt>
                <c:pt idx="45">
                  <c:v>14203</c:v>
                </c:pt>
                <c:pt idx="46">
                  <c:v>22206</c:v>
                </c:pt>
                <c:pt idx="47">
                  <c:v>10283</c:v>
                </c:pt>
                <c:pt idx="48">
                  <c:v>24913</c:v>
                </c:pt>
                <c:pt idx="49">
                  <c:v>26925</c:v>
                </c:pt>
                <c:pt idx="50">
                  <c:v>9942</c:v>
                </c:pt>
                <c:pt idx="51">
                  <c:v>32929</c:v>
                </c:pt>
                <c:pt idx="52">
                  <c:v>37829</c:v>
                </c:pt>
                <c:pt idx="53">
                  <c:v>24384</c:v>
                </c:pt>
                <c:pt idx="54">
                  <c:v>25797</c:v>
                </c:pt>
                <c:pt idx="55">
                  <c:v>12646</c:v>
                </c:pt>
                <c:pt idx="56">
                  <c:v>26663</c:v>
                </c:pt>
                <c:pt idx="57">
                  <c:v>40478</c:v>
                </c:pt>
                <c:pt idx="58">
                  <c:v>15476</c:v>
                </c:pt>
                <c:pt idx="59">
                  <c:v>10217</c:v>
                </c:pt>
                <c:pt idx="60">
                  <c:v>21939</c:v>
                </c:pt>
                <c:pt idx="61">
                  <c:v>47462</c:v>
                </c:pt>
                <c:pt idx="62">
                  <c:v>30270</c:v>
                </c:pt>
                <c:pt idx="63">
                  <c:v>5442</c:v>
                </c:pt>
                <c:pt idx="64">
                  <c:v>1083</c:v>
                </c:pt>
                <c:pt idx="65">
                  <c:v>11901</c:v>
                </c:pt>
                <c:pt idx="66">
                  <c:v>24018</c:v>
                </c:pt>
                <c:pt idx="67">
                  <c:v>38883</c:v>
                </c:pt>
                <c:pt idx="68">
                  <c:v>30575</c:v>
                </c:pt>
                <c:pt idx="69">
                  <c:v>2315</c:v>
                </c:pt>
                <c:pt idx="70">
                  <c:v>12148</c:v>
                </c:pt>
                <c:pt idx="71">
                  <c:v>36851</c:v>
                </c:pt>
                <c:pt idx="72">
                  <c:v>41215</c:v>
                </c:pt>
                <c:pt idx="73">
                  <c:v>43836</c:v>
                </c:pt>
                <c:pt idx="74">
                  <c:v>4509</c:v>
                </c:pt>
                <c:pt idx="75">
                  <c:v>27822</c:v>
                </c:pt>
                <c:pt idx="76">
                  <c:v>36397</c:v>
                </c:pt>
                <c:pt idx="77">
                  <c:v>7285</c:v>
                </c:pt>
                <c:pt idx="78">
                  <c:v>33174</c:v>
                </c:pt>
                <c:pt idx="79">
                  <c:v>6742</c:v>
                </c:pt>
                <c:pt idx="80">
                  <c:v>32478</c:v>
                </c:pt>
                <c:pt idx="81">
                  <c:v>42824</c:v>
                </c:pt>
                <c:pt idx="82">
                  <c:v>21208</c:v>
                </c:pt>
                <c:pt idx="83">
                  <c:v>44321</c:v>
                </c:pt>
                <c:pt idx="84">
                  <c:v>13116</c:v>
                </c:pt>
                <c:pt idx="85">
                  <c:v>30214</c:v>
                </c:pt>
                <c:pt idx="86">
                  <c:v>15827</c:v>
                </c:pt>
                <c:pt idx="87">
                  <c:v>46643</c:v>
                </c:pt>
                <c:pt idx="88">
                  <c:v>36484</c:v>
                </c:pt>
                <c:pt idx="89">
                  <c:v>4996</c:v>
                </c:pt>
                <c:pt idx="90">
                  <c:v>36095</c:v>
                </c:pt>
                <c:pt idx="91">
                  <c:v>16443</c:v>
                </c:pt>
                <c:pt idx="92">
                  <c:v>47812</c:v>
                </c:pt>
                <c:pt idx="93">
                  <c:v>38452</c:v>
                </c:pt>
                <c:pt idx="94">
                  <c:v>30428</c:v>
                </c:pt>
                <c:pt idx="95">
                  <c:v>9269</c:v>
                </c:pt>
                <c:pt idx="96">
                  <c:v>29533</c:v>
                </c:pt>
                <c:pt idx="97">
                  <c:v>39997</c:v>
                </c:pt>
                <c:pt idx="98">
                  <c:v>5391</c:v>
                </c:pt>
                <c:pt idx="99">
                  <c:v>22373</c:v>
                </c:pt>
                <c:pt idx="100">
                  <c:v>1810</c:v>
                </c:pt>
                <c:pt idx="101">
                  <c:v>28498</c:v>
                </c:pt>
                <c:pt idx="102">
                  <c:v>39530</c:v>
                </c:pt>
                <c:pt idx="103">
                  <c:v>37876</c:v>
                </c:pt>
                <c:pt idx="104">
                  <c:v>36103</c:v>
                </c:pt>
                <c:pt idx="105">
                  <c:v>26103</c:v>
                </c:pt>
                <c:pt idx="106">
                  <c:v>3455</c:v>
                </c:pt>
                <c:pt idx="107">
                  <c:v>40888</c:v>
                </c:pt>
                <c:pt idx="108">
                  <c:v>22724</c:v>
                </c:pt>
                <c:pt idx="109">
                  <c:v>18601</c:v>
                </c:pt>
                <c:pt idx="110">
                  <c:v>20861</c:v>
                </c:pt>
                <c:pt idx="111">
                  <c:v>46625</c:v>
                </c:pt>
                <c:pt idx="112">
                  <c:v>20692</c:v>
                </c:pt>
                <c:pt idx="113">
                  <c:v>18656</c:v>
                </c:pt>
                <c:pt idx="114">
                  <c:v>13316</c:v>
                </c:pt>
                <c:pt idx="115">
                  <c:v>49558</c:v>
                </c:pt>
                <c:pt idx="116">
                  <c:v>4683</c:v>
                </c:pt>
                <c:pt idx="117">
                  <c:v>47502</c:v>
                </c:pt>
                <c:pt idx="118">
                  <c:v>35359</c:v>
                </c:pt>
                <c:pt idx="119">
                  <c:v>14154</c:v>
                </c:pt>
                <c:pt idx="120">
                  <c:v>4313</c:v>
                </c:pt>
                <c:pt idx="121">
                  <c:v>25140</c:v>
                </c:pt>
                <c:pt idx="122">
                  <c:v>9118</c:v>
                </c:pt>
                <c:pt idx="123">
                  <c:v>39931</c:v>
                </c:pt>
                <c:pt idx="124">
                  <c:v>37132</c:v>
                </c:pt>
                <c:pt idx="125">
                  <c:v>17951</c:v>
                </c:pt>
                <c:pt idx="126">
                  <c:v>2798</c:v>
                </c:pt>
                <c:pt idx="127">
                  <c:v>15045</c:v>
                </c:pt>
                <c:pt idx="128">
                  <c:v>14548</c:v>
                </c:pt>
                <c:pt idx="129">
                  <c:v>45708</c:v>
                </c:pt>
                <c:pt idx="130">
                  <c:v>12350</c:v>
                </c:pt>
                <c:pt idx="131">
                  <c:v>40868</c:v>
                </c:pt>
                <c:pt idx="132">
                  <c:v>43122</c:v>
                </c:pt>
                <c:pt idx="133">
                  <c:v>23853</c:v>
                </c:pt>
                <c:pt idx="134">
                  <c:v>45380</c:v>
                </c:pt>
                <c:pt idx="135">
                  <c:v>7705</c:v>
                </c:pt>
                <c:pt idx="136">
                  <c:v>25525</c:v>
                </c:pt>
                <c:pt idx="137">
                  <c:v>20560</c:v>
                </c:pt>
                <c:pt idx="138">
                  <c:v>19119</c:v>
                </c:pt>
                <c:pt idx="139">
                  <c:v>43999</c:v>
                </c:pt>
                <c:pt idx="140">
                  <c:v>10825</c:v>
                </c:pt>
                <c:pt idx="141">
                  <c:v>40323</c:v>
                </c:pt>
                <c:pt idx="142">
                  <c:v>48270</c:v>
                </c:pt>
                <c:pt idx="143">
                  <c:v>18001</c:v>
                </c:pt>
                <c:pt idx="144">
                  <c:v>3314</c:v>
                </c:pt>
                <c:pt idx="145">
                  <c:v>23489</c:v>
                </c:pt>
                <c:pt idx="146">
                  <c:v>42832</c:v>
                </c:pt>
                <c:pt idx="147">
                  <c:v>24494</c:v>
                </c:pt>
                <c:pt idx="148">
                  <c:v>44097</c:v>
                </c:pt>
                <c:pt idx="149">
                  <c:v>31853</c:v>
                </c:pt>
                <c:pt idx="150">
                  <c:v>37636</c:v>
                </c:pt>
                <c:pt idx="151">
                  <c:v>22996</c:v>
                </c:pt>
                <c:pt idx="152">
                  <c:v>49772</c:v>
                </c:pt>
                <c:pt idx="153">
                  <c:v>22713</c:v>
                </c:pt>
                <c:pt idx="154">
                  <c:v>8718</c:v>
                </c:pt>
                <c:pt idx="155">
                  <c:v>39031</c:v>
                </c:pt>
                <c:pt idx="156">
                  <c:v>33799</c:v>
                </c:pt>
                <c:pt idx="157">
                  <c:v>20553</c:v>
                </c:pt>
                <c:pt idx="158">
                  <c:v>10002</c:v>
                </c:pt>
                <c:pt idx="159">
                  <c:v>30987</c:v>
                </c:pt>
                <c:pt idx="160">
                  <c:v>6296</c:v>
                </c:pt>
                <c:pt idx="161">
                  <c:v>21539</c:v>
                </c:pt>
                <c:pt idx="162">
                  <c:v>14722</c:v>
                </c:pt>
                <c:pt idx="163">
                  <c:v>11383</c:v>
                </c:pt>
                <c:pt idx="164">
                  <c:v>9480</c:v>
                </c:pt>
                <c:pt idx="165">
                  <c:v>29116</c:v>
                </c:pt>
                <c:pt idx="166">
                  <c:v>14068</c:v>
                </c:pt>
                <c:pt idx="167">
                  <c:v>35801</c:v>
                </c:pt>
                <c:pt idx="168">
                  <c:v>49077</c:v>
                </c:pt>
                <c:pt idx="169">
                  <c:v>21453</c:v>
                </c:pt>
                <c:pt idx="170">
                  <c:v>21061</c:v>
                </c:pt>
                <c:pt idx="171">
                  <c:v>20059</c:v>
                </c:pt>
                <c:pt idx="172">
                  <c:v>23140</c:v>
                </c:pt>
                <c:pt idx="173">
                  <c:v>23461</c:v>
                </c:pt>
                <c:pt idx="174">
                  <c:v>11805</c:v>
                </c:pt>
                <c:pt idx="175">
                  <c:v>15969</c:v>
                </c:pt>
                <c:pt idx="176">
                  <c:v>2436</c:v>
                </c:pt>
                <c:pt idx="177">
                  <c:v>47603</c:v>
                </c:pt>
                <c:pt idx="178">
                  <c:v>42964</c:v>
                </c:pt>
                <c:pt idx="179">
                  <c:v>39923</c:v>
                </c:pt>
                <c:pt idx="180">
                  <c:v>2293</c:v>
                </c:pt>
                <c:pt idx="181">
                  <c:v>25920</c:v>
                </c:pt>
                <c:pt idx="182">
                  <c:v>11035</c:v>
                </c:pt>
                <c:pt idx="183">
                  <c:v>20733</c:v>
                </c:pt>
                <c:pt idx="184">
                  <c:v>18693</c:v>
                </c:pt>
                <c:pt idx="185">
                  <c:v>7875</c:v>
                </c:pt>
                <c:pt idx="186">
                  <c:v>8471</c:v>
                </c:pt>
                <c:pt idx="187">
                  <c:v>14090</c:v>
                </c:pt>
                <c:pt idx="188">
                  <c:v>14216</c:v>
                </c:pt>
                <c:pt idx="189">
                  <c:v>3582</c:v>
                </c:pt>
                <c:pt idx="190">
                  <c:v>32500</c:v>
                </c:pt>
                <c:pt idx="191">
                  <c:v>6832</c:v>
                </c:pt>
                <c:pt idx="192">
                  <c:v>33381</c:v>
                </c:pt>
                <c:pt idx="193">
                  <c:v>48419</c:v>
                </c:pt>
                <c:pt idx="194">
                  <c:v>16149</c:v>
                </c:pt>
                <c:pt idx="195">
                  <c:v>7541</c:v>
                </c:pt>
                <c:pt idx="196">
                  <c:v>20042</c:v>
                </c:pt>
                <c:pt idx="197">
                  <c:v>49400</c:v>
                </c:pt>
                <c:pt idx="198">
                  <c:v>4007</c:v>
                </c:pt>
                <c:pt idx="199">
                  <c:v>12174</c:v>
                </c:pt>
              </c:numCache>
            </c:numRef>
          </c:xVal>
          <c:yVal>
            <c:numRef>
              <c:f>'Engagement Summary'!$H$2:$H$201</c:f>
              <c:numCache>
                <c:formatCode>General</c:formatCode>
                <c:ptCount val="200"/>
                <c:pt idx="0">
                  <c:v>1047</c:v>
                </c:pt>
                <c:pt idx="1">
                  <c:v>1002</c:v>
                </c:pt>
                <c:pt idx="2">
                  <c:v>415</c:v>
                </c:pt>
                <c:pt idx="3">
                  <c:v>1090</c:v>
                </c:pt>
                <c:pt idx="4">
                  <c:v>517</c:v>
                </c:pt>
                <c:pt idx="5">
                  <c:v>1283</c:v>
                </c:pt>
                <c:pt idx="6">
                  <c:v>186</c:v>
                </c:pt>
                <c:pt idx="7">
                  <c:v>994</c:v>
                </c:pt>
                <c:pt idx="8">
                  <c:v>893</c:v>
                </c:pt>
                <c:pt idx="9">
                  <c:v>1382</c:v>
                </c:pt>
                <c:pt idx="10">
                  <c:v>1295</c:v>
                </c:pt>
                <c:pt idx="11">
                  <c:v>337</c:v>
                </c:pt>
                <c:pt idx="12">
                  <c:v>629</c:v>
                </c:pt>
                <c:pt idx="13">
                  <c:v>1670</c:v>
                </c:pt>
                <c:pt idx="14">
                  <c:v>835</c:v>
                </c:pt>
                <c:pt idx="15">
                  <c:v>-123</c:v>
                </c:pt>
                <c:pt idx="16">
                  <c:v>-219</c:v>
                </c:pt>
                <c:pt idx="17">
                  <c:v>64</c:v>
                </c:pt>
                <c:pt idx="18">
                  <c:v>1357</c:v>
                </c:pt>
                <c:pt idx="19">
                  <c:v>91</c:v>
                </c:pt>
                <c:pt idx="20">
                  <c:v>1672</c:v>
                </c:pt>
                <c:pt idx="21">
                  <c:v>309</c:v>
                </c:pt>
                <c:pt idx="22">
                  <c:v>547</c:v>
                </c:pt>
                <c:pt idx="23">
                  <c:v>514</c:v>
                </c:pt>
                <c:pt idx="24">
                  <c:v>1845</c:v>
                </c:pt>
                <c:pt idx="25">
                  <c:v>-164</c:v>
                </c:pt>
                <c:pt idx="26">
                  <c:v>429</c:v>
                </c:pt>
                <c:pt idx="27">
                  <c:v>160</c:v>
                </c:pt>
                <c:pt idx="28">
                  <c:v>159</c:v>
                </c:pt>
                <c:pt idx="29">
                  <c:v>961</c:v>
                </c:pt>
                <c:pt idx="30">
                  <c:v>1316</c:v>
                </c:pt>
                <c:pt idx="31">
                  <c:v>317</c:v>
                </c:pt>
                <c:pt idx="32">
                  <c:v>541</c:v>
                </c:pt>
                <c:pt idx="33">
                  <c:v>-318</c:v>
                </c:pt>
                <c:pt idx="34">
                  <c:v>1495</c:v>
                </c:pt>
                <c:pt idx="35">
                  <c:v>475</c:v>
                </c:pt>
                <c:pt idx="36">
                  <c:v>352</c:v>
                </c:pt>
                <c:pt idx="37">
                  <c:v>-197</c:v>
                </c:pt>
                <c:pt idx="38">
                  <c:v>328</c:v>
                </c:pt>
                <c:pt idx="39">
                  <c:v>319</c:v>
                </c:pt>
                <c:pt idx="40">
                  <c:v>1325</c:v>
                </c:pt>
                <c:pt idx="41">
                  <c:v>1334</c:v>
                </c:pt>
                <c:pt idx="42">
                  <c:v>37</c:v>
                </c:pt>
                <c:pt idx="43">
                  <c:v>1032</c:v>
                </c:pt>
                <c:pt idx="44">
                  <c:v>76</c:v>
                </c:pt>
                <c:pt idx="45">
                  <c:v>1058</c:v>
                </c:pt>
                <c:pt idx="46">
                  <c:v>1665</c:v>
                </c:pt>
                <c:pt idx="47">
                  <c:v>190</c:v>
                </c:pt>
                <c:pt idx="48">
                  <c:v>1609</c:v>
                </c:pt>
                <c:pt idx="49">
                  <c:v>37</c:v>
                </c:pt>
                <c:pt idx="50">
                  <c:v>1229</c:v>
                </c:pt>
                <c:pt idx="51">
                  <c:v>28</c:v>
                </c:pt>
                <c:pt idx="52">
                  <c:v>1247</c:v>
                </c:pt>
                <c:pt idx="53">
                  <c:v>1045</c:v>
                </c:pt>
                <c:pt idx="54">
                  <c:v>197</c:v>
                </c:pt>
                <c:pt idx="55">
                  <c:v>333</c:v>
                </c:pt>
                <c:pt idx="56">
                  <c:v>1572</c:v>
                </c:pt>
                <c:pt idx="57">
                  <c:v>1428</c:v>
                </c:pt>
                <c:pt idx="58">
                  <c:v>260</c:v>
                </c:pt>
                <c:pt idx="59">
                  <c:v>1100</c:v>
                </c:pt>
                <c:pt idx="60">
                  <c:v>377</c:v>
                </c:pt>
                <c:pt idx="61">
                  <c:v>98</c:v>
                </c:pt>
                <c:pt idx="62">
                  <c:v>1125</c:v>
                </c:pt>
                <c:pt idx="63">
                  <c:v>-32</c:v>
                </c:pt>
                <c:pt idx="64">
                  <c:v>666</c:v>
                </c:pt>
                <c:pt idx="65">
                  <c:v>-19</c:v>
                </c:pt>
                <c:pt idx="66">
                  <c:v>1680</c:v>
                </c:pt>
                <c:pt idx="67">
                  <c:v>1006</c:v>
                </c:pt>
                <c:pt idx="68">
                  <c:v>1025</c:v>
                </c:pt>
                <c:pt idx="69">
                  <c:v>-179</c:v>
                </c:pt>
                <c:pt idx="70">
                  <c:v>599</c:v>
                </c:pt>
                <c:pt idx="71">
                  <c:v>1706</c:v>
                </c:pt>
                <c:pt idx="72">
                  <c:v>1872</c:v>
                </c:pt>
                <c:pt idx="73">
                  <c:v>1662</c:v>
                </c:pt>
                <c:pt idx="74">
                  <c:v>107</c:v>
                </c:pt>
                <c:pt idx="75">
                  <c:v>118</c:v>
                </c:pt>
                <c:pt idx="76">
                  <c:v>1224</c:v>
                </c:pt>
                <c:pt idx="77">
                  <c:v>285</c:v>
                </c:pt>
                <c:pt idx="78">
                  <c:v>-20</c:v>
                </c:pt>
                <c:pt idx="79">
                  <c:v>367</c:v>
                </c:pt>
                <c:pt idx="80">
                  <c:v>262</c:v>
                </c:pt>
                <c:pt idx="81">
                  <c:v>439</c:v>
                </c:pt>
                <c:pt idx="82">
                  <c:v>636</c:v>
                </c:pt>
                <c:pt idx="83">
                  <c:v>1484</c:v>
                </c:pt>
                <c:pt idx="84">
                  <c:v>576</c:v>
                </c:pt>
                <c:pt idx="85">
                  <c:v>386</c:v>
                </c:pt>
                <c:pt idx="86">
                  <c:v>37</c:v>
                </c:pt>
                <c:pt idx="87">
                  <c:v>1657</c:v>
                </c:pt>
                <c:pt idx="88">
                  <c:v>1397</c:v>
                </c:pt>
                <c:pt idx="89">
                  <c:v>540</c:v>
                </c:pt>
                <c:pt idx="90">
                  <c:v>1603</c:v>
                </c:pt>
                <c:pt idx="91">
                  <c:v>1044</c:v>
                </c:pt>
                <c:pt idx="92">
                  <c:v>902</c:v>
                </c:pt>
                <c:pt idx="93">
                  <c:v>-106</c:v>
                </c:pt>
                <c:pt idx="94">
                  <c:v>1150</c:v>
                </c:pt>
                <c:pt idx="95">
                  <c:v>349</c:v>
                </c:pt>
                <c:pt idx="96">
                  <c:v>-49</c:v>
                </c:pt>
                <c:pt idx="97">
                  <c:v>72</c:v>
                </c:pt>
                <c:pt idx="98">
                  <c:v>445</c:v>
                </c:pt>
                <c:pt idx="99">
                  <c:v>60</c:v>
                </c:pt>
                <c:pt idx="100">
                  <c:v>1693</c:v>
                </c:pt>
                <c:pt idx="101">
                  <c:v>1332</c:v>
                </c:pt>
                <c:pt idx="102">
                  <c:v>98</c:v>
                </c:pt>
                <c:pt idx="103">
                  <c:v>885</c:v>
                </c:pt>
                <c:pt idx="104">
                  <c:v>1625</c:v>
                </c:pt>
                <c:pt idx="105">
                  <c:v>1706</c:v>
                </c:pt>
                <c:pt idx="106">
                  <c:v>1173</c:v>
                </c:pt>
                <c:pt idx="107">
                  <c:v>291</c:v>
                </c:pt>
                <c:pt idx="108">
                  <c:v>1119</c:v>
                </c:pt>
                <c:pt idx="109">
                  <c:v>1373</c:v>
                </c:pt>
                <c:pt idx="110">
                  <c:v>1727</c:v>
                </c:pt>
                <c:pt idx="111">
                  <c:v>573</c:v>
                </c:pt>
                <c:pt idx="112">
                  <c:v>1432</c:v>
                </c:pt>
                <c:pt idx="113">
                  <c:v>1377</c:v>
                </c:pt>
                <c:pt idx="114">
                  <c:v>1359</c:v>
                </c:pt>
                <c:pt idx="115">
                  <c:v>876</c:v>
                </c:pt>
                <c:pt idx="116">
                  <c:v>684</c:v>
                </c:pt>
                <c:pt idx="117">
                  <c:v>730</c:v>
                </c:pt>
                <c:pt idx="118">
                  <c:v>911</c:v>
                </c:pt>
                <c:pt idx="119">
                  <c:v>1589</c:v>
                </c:pt>
                <c:pt idx="120">
                  <c:v>1765</c:v>
                </c:pt>
                <c:pt idx="121">
                  <c:v>1776</c:v>
                </c:pt>
                <c:pt idx="122">
                  <c:v>1529</c:v>
                </c:pt>
                <c:pt idx="123">
                  <c:v>1460</c:v>
                </c:pt>
                <c:pt idx="124">
                  <c:v>903</c:v>
                </c:pt>
                <c:pt idx="125">
                  <c:v>620</c:v>
                </c:pt>
                <c:pt idx="126">
                  <c:v>1188</c:v>
                </c:pt>
                <c:pt idx="127">
                  <c:v>846</c:v>
                </c:pt>
                <c:pt idx="128">
                  <c:v>1722</c:v>
                </c:pt>
                <c:pt idx="129">
                  <c:v>298</c:v>
                </c:pt>
                <c:pt idx="130">
                  <c:v>-144</c:v>
                </c:pt>
                <c:pt idx="131">
                  <c:v>901</c:v>
                </c:pt>
                <c:pt idx="132">
                  <c:v>1572</c:v>
                </c:pt>
                <c:pt idx="133">
                  <c:v>427</c:v>
                </c:pt>
                <c:pt idx="134">
                  <c:v>891</c:v>
                </c:pt>
                <c:pt idx="135">
                  <c:v>724</c:v>
                </c:pt>
                <c:pt idx="136">
                  <c:v>-166</c:v>
                </c:pt>
                <c:pt idx="137">
                  <c:v>898</c:v>
                </c:pt>
                <c:pt idx="138">
                  <c:v>1426</c:v>
                </c:pt>
                <c:pt idx="139">
                  <c:v>1225</c:v>
                </c:pt>
                <c:pt idx="140">
                  <c:v>1080</c:v>
                </c:pt>
                <c:pt idx="141">
                  <c:v>748</c:v>
                </c:pt>
                <c:pt idx="142">
                  <c:v>569</c:v>
                </c:pt>
                <c:pt idx="143">
                  <c:v>-203</c:v>
                </c:pt>
                <c:pt idx="144">
                  <c:v>1723</c:v>
                </c:pt>
                <c:pt idx="145">
                  <c:v>912</c:v>
                </c:pt>
                <c:pt idx="146">
                  <c:v>1202</c:v>
                </c:pt>
                <c:pt idx="147">
                  <c:v>1444</c:v>
                </c:pt>
                <c:pt idx="148">
                  <c:v>965</c:v>
                </c:pt>
                <c:pt idx="149">
                  <c:v>1590</c:v>
                </c:pt>
                <c:pt idx="150">
                  <c:v>-37</c:v>
                </c:pt>
                <c:pt idx="151">
                  <c:v>1175</c:v>
                </c:pt>
                <c:pt idx="152">
                  <c:v>1375</c:v>
                </c:pt>
                <c:pt idx="153">
                  <c:v>1707</c:v>
                </c:pt>
                <c:pt idx="154">
                  <c:v>708</c:v>
                </c:pt>
                <c:pt idx="155">
                  <c:v>1016</c:v>
                </c:pt>
                <c:pt idx="156">
                  <c:v>1315</c:v>
                </c:pt>
                <c:pt idx="157">
                  <c:v>-119</c:v>
                </c:pt>
                <c:pt idx="158">
                  <c:v>899</c:v>
                </c:pt>
                <c:pt idx="159">
                  <c:v>315</c:v>
                </c:pt>
                <c:pt idx="160">
                  <c:v>212</c:v>
                </c:pt>
                <c:pt idx="161">
                  <c:v>908</c:v>
                </c:pt>
                <c:pt idx="162">
                  <c:v>1350</c:v>
                </c:pt>
                <c:pt idx="163">
                  <c:v>1242</c:v>
                </c:pt>
                <c:pt idx="164">
                  <c:v>680</c:v>
                </c:pt>
                <c:pt idx="165">
                  <c:v>1116</c:v>
                </c:pt>
                <c:pt idx="166">
                  <c:v>861</c:v>
                </c:pt>
                <c:pt idx="167">
                  <c:v>1385</c:v>
                </c:pt>
                <c:pt idx="168">
                  <c:v>461</c:v>
                </c:pt>
                <c:pt idx="169">
                  <c:v>474</c:v>
                </c:pt>
                <c:pt idx="170">
                  <c:v>292</c:v>
                </c:pt>
                <c:pt idx="171">
                  <c:v>389</c:v>
                </c:pt>
                <c:pt idx="172">
                  <c:v>641</c:v>
                </c:pt>
                <c:pt idx="173">
                  <c:v>514</c:v>
                </c:pt>
                <c:pt idx="174">
                  <c:v>1676</c:v>
                </c:pt>
                <c:pt idx="175">
                  <c:v>1467</c:v>
                </c:pt>
                <c:pt idx="176">
                  <c:v>167</c:v>
                </c:pt>
                <c:pt idx="177">
                  <c:v>1029</c:v>
                </c:pt>
                <c:pt idx="178">
                  <c:v>1007</c:v>
                </c:pt>
                <c:pt idx="179">
                  <c:v>209</c:v>
                </c:pt>
                <c:pt idx="180">
                  <c:v>-160</c:v>
                </c:pt>
                <c:pt idx="181">
                  <c:v>-175</c:v>
                </c:pt>
                <c:pt idx="182">
                  <c:v>53</c:v>
                </c:pt>
                <c:pt idx="183">
                  <c:v>145</c:v>
                </c:pt>
                <c:pt idx="184">
                  <c:v>603</c:v>
                </c:pt>
                <c:pt idx="185">
                  <c:v>1045</c:v>
                </c:pt>
                <c:pt idx="186">
                  <c:v>759</c:v>
                </c:pt>
                <c:pt idx="187">
                  <c:v>1633</c:v>
                </c:pt>
                <c:pt idx="188">
                  <c:v>1539</c:v>
                </c:pt>
                <c:pt idx="189">
                  <c:v>453</c:v>
                </c:pt>
                <c:pt idx="190">
                  <c:v>948</c:v>
                </c:pt>
                <c:pt idx="191">
                  <c:v>637</c:v>
                </c:pt>
                <c:pt idx="192">
                  <c:v>1881</c:v>
                </c:pt>
                <c:pt idx="193">
                  <c:v>339</c:v>
                </c:pt>
                <c:pt idx="194">
                  <c:v>1510</c:v>
                </c:pt>
                <c:pt idx="195">
                  <c:v>864</c:v>
                </c:pt>
                <c:pt idx="196">
                  <c:v>1656</c:v>
                </c:pt>
                <c:pt idx="197">
                  <c:v>407</c:v>
                </c:pt>
                <c:pt idx="198">
                  <c:v>269</c:v>
                </c:pt>
                <c:pt idx="199">
                  <c:v>-337</c:v>
                </c:pt>
              </c:numCache>
            </c:numRef>
          </c:yVal>
          <c:smooth val="0"/>
          <c:extLst>
            <c:ext xmlns:c16="http://schemas.microsoft.com/office/drawing/2014/chart" uri="{C3380CC4-5D6E-409C-BE32-E72D297353CC}">
              <c16:uniqueId val="{00000190-37F9-40EA-A76B-0D54D13FE724}"/>
            </c:ext>
          </c:extLst>
        </c:ser>
        <c:dLbls>
          <c:showLegendKey val="0"/>
          <c:showVal val="0"/>
          <c:showCatName val="0"/>
          <c:showSerName val="0"/>
          <c:showPercent val="0"/>
          <c:showBubbleSize val="0"/>
        </c:dLbls>
        <c:axId val="344281328"/>
        <c:axId val="344272688"/>
      </c:scatterChart>
      <c:valAx>
        <c:axId val="3442813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Ad-Spend</a:t>
                </a:r>
              </a:p>
            </c:rich>
          </c:tx>
          <c:overlay val="0"/>
          <c:spPr>
            <a:noFill/>
            <a:ln>
              <a:noFill/>
            </a:ln>
            <a:effectLst/>
          </c:sp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4272688"/>
        <c:crosses val="autoZero"/>
        <c:crossBetween val="midCat"/>
      </c:valAx>
      <c:valAx>
        <c:axId val="34427268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Followers Gained</a:t>
                </a:r>
              </a:p>
            </c:rich>
          </c:tx>
          <c:overlay val="0"/>
          <c:spPr>
            <a:noFill/>
            <a:ln>
              <a:noFill/>
            </a:ln>
            <a:effectLst/>
          </c:sp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42813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Follower</a:t>
            </a:r>
            <a:r>
              <a:rPr lang="en-US" baseline="0"/>
              <a:t> </a:t>
            </a:r>
            <a:r>
              <a:rPr lang="en-US"/>
              <a:t>Growth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'Follower Retention &amp; Loyalty 2'!$B$1</c:f>
              <c:strCache>
                <c:ptCount val="1"/>
                <c:pt idx="0">
                  <c:v>Follower-Growth</c:v>
                </c:pt>
              </c:strCache>
            </c:strRef>
          </c:tx>
          <c:spPr>
            <a:ln w="28575" cap="rnd">
              <a:solidFill>
                <a:schemeClr val="accent1"/>
              </a:solidFill>
              <a:round/>
            </a:ln>
            <a:effectLst/>
          </c:spPr>
          <c:marker>
            <c:symbol val="none"/>
          </c:marker>
          <c:trendline>
            <c:spPr>
              <a:ln w="19050" cap="rnd">
                <a:solidFill>
                  <a:schemeClr val="accent1">
                    <a:lumMod val="50000"/>
                  </a:schemeClr>
                </a:solidFill>
                <a:prstDash val="sysDot"/>
              </a:ln>
              <a:effectLst/>
            </c:spPr>
            <c:trendlineType val="linear"/>
            <c:dispRSqr val="0"/>
            <c:dispEq val="0"/>
          </c:trendline>
          <c:cat>
            <c:numRef>
              <c:f>'Follower Retention &amp; Loyalty 2'!$A$2:$A$51</c:f>
              <c:numCache>
                <c:formatCode>m/d/yyyy</c:formatCode>
                <c:ptCount val="50"/>
                <c:pt idx="0">
                  <c:v>45446</c:v>
                </c:pt>
                <c:pt idx="1">
                  <c:v>45453</c:v>
                </c:pt>
                <c:pt idx="2">
                  <c:v>45460</c:v>
                </c:pt>
                <c:pt idx="3">
                  <c:v>45467</c:v>
                </c:pt>
                <c:pt idx="4">
                  <c:v>45474</c:v>
                </c:pt>
                <c:pt idx="5">
                  <c:v>45481</c:v>
                </c:pt>
                <c:pt idx="6">
                  <c:v>45488</c:v>
                </c:pt>
                <c:pt idx="7">
                  <c:v>45495</c:v>
                </c:pt>
                <c:pt idx="8">
                  <c:v>45502</c:v>
                </c:pt>
                <c:pt idx="9">
                  <c:v>45509</c:v>
                </c:pt>
                <c:pt idx="10">
                  <c:v>45516</c:v>
                </c:pt>
                <c:pt idx="11">
                  <c:v>45523</c:v>
                </c:pt>
                <c:pt idx="12">
                  <c:v>45530</c:v>
                </c:pt>
                <c:pt idx="13">
                  <c:v>45537</c:v>
                </c:pt>
                <c:pt idx="14">
                  <c:v>45544</c:v>
                </c:pt>
                <c:pt idx="15">
                  <c:v>45551</c:v>
                </c:pt>
                <c:pt idx="16">
                  <c:v>45558</c:v>
                </c:pt>
                <c:pt idx="17">
                  <c:v>45565</c:v>
                </c:pt>
                <c:pt idx="18">
                  <c:v>45572</c:v>
                </c:pt>
                <c:pt idx="19">
                  <c:v>45579</c:v>
                </c:pt>
                <c:pt idx="20">
                  <c:v>45586</c:v>
                </c:pt>
                <c:pt idx="21">
                  <c:v>45593</c:v>
                </c:pt>
                <c:pt idx="22">
                  <c:v>45600</c:v>
                </c:pt>
                <c:pt idx="23">
                  <c:v>45607</c:v>
                </c:pt>
                <c:pt idx="24">
                  <c:v>45614</c:v>
                </c:pt>
                <c:pt idx="25">
                  <c:v>45621</c:v>
                </c:pt>
                <c:pt idx="26">
                  <c:v>45628</c:v>
                </c:pt>
                <c:pt idx="27">
                  <c:v>45635</c:v>
                </c:pt>
                <c:pt idx="28">
                  <c:v>45642</c:v>
                </c:pt>
                <c:pt idx="29">
                  <c:v>45649</c:v>
                </c:pt>
                <c:pt idx="30">
                  <c:v>45656</c:v>
                </c:pt>
                <c:pt idx="31">
                  <c:v>45663</c:v>
                </c:pt>
                <c:pt idx="32">
                  <c:v>45670</c:v>
                </c:pt>
                <c:pt idx="33">
                  <c:v>45677</c:v>
                </c:pt>
                <c:pt idx="34">
                  <c:v>45684</c:v>
                </c:pt>
                <c:pt idx="35">
                  <c:v>45691</c:v>
                </c:pt>
                <c:pt idx="36">
                  <c:v>45698</c:v>
                </c:pt>
                <c:pt idx="37">
                  <c:v>45705</c:v>
                </c:pt>
                <c:pt idx="38">
                  <c:v>45712</c:v>
                </c:pt>
                <c:pt idx="39">
                  <c:v>45719</c:v>
                </c:pt>
                <c:pt idx="40">
                  <c:v>45726</c:v>
                </c:pt>
                <c:pt idx="41">
                  <c:v>45733</c:v>
                </c:pt>
                <c:pt idx="42">
                  <c:v>45740</c:v>
                </c:pt>
                <c:pt idx="43">
                  <c:v>45747</c:v>
                </c:pt>
                <c:pt idx="44">
                  <c:v>45754</c:v>
                </c:pt>
                <c:pt idx="45">
                  <c:v>45761</c:v>
                </c:pt>
                <c:pt idx="46">
                  <c:v>45768</c:v>
                </c:pt>
                <c:pt idx="47">
                  <c:v>45775</c:v>
                </c:pt>
                <c:pt idx="48">
                  <c:v>45782</c:v>
                </c:pt>
                <c:pt idx="49">
                  <c:v>45789</c:v>
                </c:pt>
              </c:numCache>
            </c:numRef>
          </c:cat>
          <c:val>
            <c:numRef>
              <c:f>'Follower Retention &amp; Loyalty 2'!$B$2:$B$51</c:f>
              <c:numCache>
                <c:formatCode>General</c:formatCode>
                <c:ptCount val="50"/>
                <c:pt idx="0">
                  <c:v>3554</c:v>
                </c:pt>
                <c:pt idx="1">
                  <c:v>2980</c:v>
                </c:pt>
                <c:pt idx="2">
                  <c:v>3907</c:v>
                </c:pt>
                <c:pt idx="3">
                  <c:v>3011</c:v>
                </c:pt>
                <c:pt idx="4">
                  <c:v>1293</c:v>
                </c:pt>
                <c:pt idx="5">
                  <c:v>3042</c:v>
                </c:pt>
                <c:pt idx="6">
                  <c:v>2270</c:v>
                </c:pt>
                <c:pt idx="7">
                  <c:v>2753</c:v>
                </c:pt>
                <c:pt idx="8">
                  <c:v>2193</c:v>
                </c:pt>
                <c:pt idx="9">
                  <c:v>802</c:v>
                </c:pt>
                <c:pt idx="10">
                  <c:v>3728</c:v>
                </c:pt>
                <c:pt idx="11">
                  <c:v>2989</c:v>
                </c:pt>
                <c:pt idx="12">
                  <c:v>2903</c:v>
                </c:pt>
                <c:pt idx="13">
                  <c:v>2822</c:v>
                </c:pt>
                <c:pt idx="14">
                  <c:v>4360</c:v>
                </c:pt>
                <c:pt idx="15">
                  <c:v>1568</c:v>
                </c:pt>
                <c:pt idx="16">
                  <c:v>3333</c:v>
                </c:pt>
                <c:pt idx="17">
                  <c:v>3151</c:v>
                </c:pt>
                <c:pt idx="18">
                  <c:v>3759</c:v>
                </c:pt>
                <c:pt idx="19">
                  <c:v>1856</c:v>
                </c:pt>
                <c:pt idx="20">
                  <c:v>2821</c:v>
                </c:pt>
                <c:pt idx="21">
                  <c:v>2656</c:v>
                </c:pt>
                <c:pt idx="22">
                  <c:v>4584</c:v>
                </c:pt>
                <c:pt idx="23">
                  <c:v>2295</c:v>
                </c:pt>
                <c:pt idx="24">
                  <c:v>528</c:v>
                </c:pt>
                <c:pt idx="25">
                  <c:v>4008</c:v>
                </c:pt>
                <c:pt idx="26">
                  <c:v>4795</c:v>
                </c:pt>
                <c:pt idx="27">
                  <c:v>4792</c:v>
                </c:pt>
                <c:pt idx="28">
                  <c:v>5044</c:v>
                </c:pt>
                <c:pt idx="29">
                  <c:v>3914</c:v>
                </c:pt>
                <c:pt idx="30">
                  <c:v>6530</c:v>
                </c:pt>
                <c:pt idx="31">
                  <c:v>3557</c:v>
                </c:pt>
                <c:pt idx="32">
                  <c:v>2777</c:v>
                </c:pt>
                <c:pt idx="33">
                  <c:v>3614</c:v>
                </c:pt>
                <c:pt idx="34">
                  <c:v>3383</c:v>
                </c:pt>
                <c:pt idx="35">
                  <c:v>2194</c:v>
                </c:pt>
                <c:pt idx="36">
                  <c:v>5281</c:v>
                </c:pt>
                <c:pt idx="37">
                  <c:v>3693</c:v>
                </c:pt>
                <c:pt idx="38">
                  <c:v>4806</c:v>
                </c:pt>
                <c:pt idx="39">
                  <c:v>2410</c:v>
                </c:pt>
                <c:pt idx="40">
                  <c:v>3712</c:v>
                </c:pt>
                <c:pt idx="41">
                  <c:v>4042</c:v>
                </c:pt>
                <c:pt idx="42">
                  <c:v>1616</c:v>
                </c:pt>
                <c:pt idx="43">
                  <c:v>4298</c:v>
                </c:pt>
                <c:pt idx="44">
                  <c:v>2412</c:v>
                </c:pt>
                <c:pt idx="45">
                  <c:v>-137</c:v>
                </c:pt>
                <c:pt idx="46">
                  <c:v>4040</c:v>
                </c:pt>
                <c:pt idx="47">
                  <c:v>3577</c:v>
                </c:pt>
                <c:pt idx="48">
                  <c:v>4594</c:v>
                </c:pt>
                <c:pt idx="49">
                  <c:v>1995</c:v>
                </c:pt>
              </c:numCache>
            </c:numRef>
          </c:val>
          <c:smooth val="0"/>
          <c:extLst>
            <c:ext xmlns:c16="http://schemas.microsoft.com/office/drawing/2014/chart" uri="{C3380CC4-5D6E-409C-BE32-E72D297353CC}">
              <c16:uniqueId val="{00000000-A384-4C97-BD35-9821EB5363B6}"/>
            </c:ext>
          </c:extLst>
        </c:ser>
        <c:dLbls>
          <c:showLegendKey val="0"/>
          <c:showVal val="0"/>
          <c:showCatName val="0"/>
          <c:showSerName val="0"/>
          <c:showPercent val="0"/>
          <c:showBubbleSize val="0"/>
        </c:dLbls>
        <c:smooth val="0"/>
        <c:axId val="1549406591"/>
        <c:axId val="1549396991"/>
      </c:lineChart>
      <c:dateAx>
        <c:axId val="1549406591"/>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96991"/>
        <c:crosses val="autoZero"/>
        <c:auto val="1"/>
        <c:lblOffset val="100"/>
        <c:baseTimeUnit val="days"/>
      </c:dateAx>
      <c:valAx>
        <c:axId val="1549396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40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Follower Growth Trend (Smooth)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'Follower Retention &amp; Loyalty 2'!$C$1</c:f>
              <c:strCache>
                <c:ptCount val="1"/>
                <c:pt idx="0">
                  <c:v>Follower Growth (Moving Average)</c:v>
                </c:pt>
              </c:strCache>
            </c:strRef>
          </c:tx>
          <c:spPr>
            <a:ln w="28575" cap="rnd">
              <a:solidFill>
                <a:srgbClr val="FFC000"/>
              </a:solidFill>
              <a:round/>
            </a:ln>
            <a:effectLst/>
          </c:spPr>
          <c:marker>
            <c:symbol val="none"/>
          </c:marker>
          <c:trendline>
            <c:spPr>
              <a:ln w="19050" cap="rnd">
                <a:solidFill>
                  <a:schemeClr val="accent4">
                    <a:lumMod val="50000"/>
                  </a:schemeClr>
                </a:solidFill>
                <a:prstDash val="sysDot"/>
              </a:ln>
              <a:effectLst/>
            </c:spPr>
            <c:trendlineType val="linear"/>
            <c:dispRSqr val="0"/>
            <c:dispEq val="0"/>
          </c:trendline>
          <c:cat>
            <c:numRef>
              <c:f>'Follower Retention &amp; Loyalty 2'!$A$2:$A$51</c:f>
              <c:numCache>
                <c:formatCode>m/d/yyyy</c:formatCode>
                <c:ptCount val="50"/>
                <c:pt idx="0">
                  <c:v>45446</c:v>
                </c:pt>
                <c:pt idx="1">
                  <c:v>45453</c:v>
                </c:pt>
                <c:pt idx="2">
                  <c:v>45460</c:v>
                </c:pt>
                <c:pt idx="3">
                  <c:v>45467</c:v>
                </c:pt>
                <c:pt idx="4">
                  <c:v>45474</c:v>
                </c:pt>
                <c:pt idx="5">
                  <c:v>45481</c:v>
                </c:pt>
                <c:pt idx="6">
                  <c:v>45488</c:v>
                </c:pt>
                <c:pt idx="7">
                  <c:v>45495</c:v>
                </c:pt>
                <c:pt idx="8">
                  <c:v>45502</c:v>
                </c:pt>
                <c:pt idx="9">
                  <c:v>45509</c:v>
                </c:pt>
                <c:pt idx="10">
                  <c:v>45516</c:v>
                </c:pt>
                <c:pt idx="11">
                  <c:v>45523</c:v>
                </c:pt>
                <c:pt idx="12">
                  <c:v>45530</c:v>
                </c:pt>
                <c:pt idx="13">
                  <c:v>45537</c:v>
                </c:pt>
                <c:pt idx="14">
                  <c:v>45544</c:v>
                </c:pt>
                <c:pt idx="15">
                  <c:v>45551</c:v>
                </c:pt>
                <c:pt idx="16">
                  <c:v>45558</c:v>
                </c:pt>
                <c:pt idx="17">
                  <c:v>45565</c:v>
                </c:pt>
                <c:pt idx="18">
                  <c:v>45572</c:v>
                </c:pt>
                <c:pt idx="19">
                  <c:v>45579</c:v>
                </c:pt>
                <c:pt idx="20">
                  <c:v>45586</c:v>
                </c:pt>
                <c:pt idx="21">
                  <c:v>45593</c:v>
                </c:pt>
                <c:pt idx="22">
                  <c:v>45600</c:v>
                </c:pt>
                <c:pt idx="23">
                  <c:v>45607</c:v>
                </c:pt>
                <c:pt idx="24">
                  <c:v>45614</c:v>
                </c:pt>
                <c:pt idx="25">
                  <c:v>45621</c:v>
                </c:pt>
                <c:pt idx="26">
                  <c:v>45628</c:v>
                </c:pt>
                <c:pt idx="27">
                  <c:v>45635</c:v>
                </c:pt>
                <c:pt idx="28">
                  <c:v>45642</c:v>
                </c:pt>
                <c:pt idx="29">
                  <c:v>45649</c:v>
                </c:pt>
                <c:pt idx="30">
                  <c:v>45656</c:v>
                </c:pt>
                <c:pt idx="31">
                  <c:v>45663</c:v>
                </c:pt>
                <c:pt idx="32">
                  <c:v>45670</c:v>
                </c:pt>
                <c:pt idx="33">
                  <c:v>45677</c:v>
                </c:pt>
                <c:pt idx="34">
                  <c:v>45684</c:v>
                </c:pt>
                <c:pt idx="35">
                  <c:v>45691</c:v>
                </c:pt>
                <c:pt idx="36">
                  <c:v>45698</c:v>
                </c:pt>
                <c:pt idx="37">
                  <c:v>45705</c:v>
                </c:pt>
                <c:pt idx="38">
                  <c:v>45712</c:v>
                </c:pt>
                <c:pt idx="39">
                  <c:v>45719</c:v>
                </c:pt>
                <c:pt idx="40">
                  <c:v>45726</c:v>
                </c:pt>
                <c:pt idx="41">
                  <c:v>45733</c:v>
                </c:pt>
                <c:pt idx="42">
                  <c:v>45740</c:v>
                </c:pt>
                <c:pt idx="43">
                  <c:v>45747</c:v>
                </c:pt>
                <c:pt idx="44">
                  <c:v>45754</c:v>
                </c:pt>
                <c:pt idx="45">
                  <c:v>45761</c:v>
                </c:pt>
                <c:pt idx="46">
                  <c:v>45768</c:v>
                </c:pt>
                <c:pt idx="47">
                  <c:v>45775</c:v>
                </c:pt>
                <c:pt idx="48">
                  <c:v>45782</c:v>
                </c:pt>
                <c:pt idx="49">
                  <c:v>45789</c:v>
                </c:pt>
              </c:numCache>
            </c:numRef>
          </c:cat>
          <c:val>
            <c:numRef>
              <c:f>'Follower Retention &amp; Loyalty 2'!$C$2:$C$51</c:f>
              <c:numCache>
                <c:formatCode>0</c:formatCode>
                <c:ptCount val="50"/>
                <c:pt idx="0">
                  <c:v>3363</c:v>
                </c:pt>
                <c:pt idx="1">
                  <c:v>2797.75</c:v>
                </c:pt>
                <c:pt idx="2">
                  <c:v>2813.25</c:v>
                </c:pt>
                <c:pt idx="3">
                  <c:v>2404</c:v>
                </c:pt>
                <c:pt idx="4">
                  <c:v>2339.5</c:v>
                </c:pt>
                <c:pt idx="5">
                  <c:v>2564.5</c:v>
                </c:pt>
                <c:pt idx="6">
                  <c:v>2004.5</c:v>
                </c:pt>
                <c:pt idx="7">
                  <c:v>2369</c:v>
                </c:pt>
                <c:pt idx="8">
                  <c:v>2428</c:v>
                </c:pt>
                <c:pt idx="9">
                  <c:v>2605.5</c:v>
                </c:pt>
                <c:pt idx="10">
                  <c:v>3110.5</c:v>
                </c:pt>
                <c:pt idx="11">
                  <c:v>3268.5</c:v>
                </c:pt>
                <c:pt idx="12">
                  <c:v>2913.25</c:v>
                </c:pt>
                <c:pt idx="13">
                  <c:v>3020.75</c:v>
                </c:pt>
                <c:pt idx="14">
                  <c:v>3103</c:v>
                </c:pt>
                <c:pt idx="15">
                  <c:v>2952.75</c:v>
                </c:pt>
                <c:pt idx="16">
                  <c:v>3024.75</c:v>
                </c:pt>
                <c:pt idx="17">
                  <c:v>2896.75</c:v>
                </c:pt>
                <c:pt idx="18">
                  <c:v>2773</c:v>
                </c:pt>
                <c:pt idx="19">
                  <c:v>2979.25</c:v>
                </c:pt>
                <c:pt idx="20">
                  <c:v>3089</c:v>
                </c:pt>
                <c:pt idx="21">
                  <c:v>2515.75</c:v>
                </c:pt>
                <c:pt idx="22">
                  <c:v>2853.75</c:v>
                </c:pt>
                <c:pt idx="23">
                  <c:v>2906.5</c:v>
                </c:pt>
                <c:pt idx="24">
                  <c:v>3530.75</c:v>
                </c:pt>
                <c:pt idx="25">
                  <c:v>4659.75</c:v>
                </c:pt>
                <c:pt idx="26">
                  <c:v>4636.25</c:v>
                </c:pt>
                <c:pt idx="27">
                  <c:v>5070</c:v>
                </c:pt>
                <c:pt idx="28">
                  <c:v>4761.25</c:v>
                </c:pt>
                <c:pt idx="29">
                  <c:v>4194.5</c:v>
                </c:pt>
                <c:pt idx="30">
                  <c:v>4119.5</c:v>
                </c:pt>
                <c:pt idx="31">
                  <c:v>3332.75</c:v>
                </c:pt>
                <c:pt idx="32">
                  <c:v>2992</c:v>
                </c:pt>
                <c:pt idx="33">
                  <c:v>3618</c:v>
                </c:pt>
                <c:pt idx="34">
                  <c:v>3637.75</c:v>
                </c:pt>
                <c:pt idx="35">
                  <c:v>3993.5</c:v>
                </c:pt>
                <c:pt idx="36">
                  <c:v>4047.5</c:v>
                </c:pt>
                <c:pt idx="37">
                  <c:v>3655.25</c:v>
                </c:pt>
                <c:pt idx="38">
                  <c:v>3742.5</c:v>
                </c:pt>
                <c:pt idx="39">
                  <c:v>2945</c:v>
                </c:pt>
                <c:pt idx="40">
                  <c:v>3417</c:v>
                </c:pt>
                <c:pt idx="41">
                  <c:v>3092</c:v>
                </c:pt>
                <c:pt idx="42">
                  <c:v>2047.25</c:v>
                </c:pt>
                <c:pt idx="43">
                  <c:v>2653.25</c:v>
                </c:pt>
                <c:pt idx="44">
                  <c:v>2473</c:v>
                </c:pt>
                <c:pt idx="45">
                  <c:v>3018.5</c:v>
                </c:pt>
                <c:pt idx="46">
                  <c:v>3551.5</c:v>
                </c:pt>
                <c:pt idx="47">
                  <c:v>3388.6666666666665</c:v>
                </c:pt>
                <c:pt idx="48">
                  <c:v>3294.5</c:v>
                </c:pt>
                <c:pt idx="49">
                  <c:v>1995</c:v>
                </c:pt>
              </c:numCache>
            </c:numRef>
          </c:val>
          <c:smooth val="0"/>
          <c:extLst>
            <c:ext xmlns:c16="http://schemas.microsoft.com/office/drawing/2014/chart" uri="{C3380CC4-5D6E-409C-BE32-E72D297353CC}">
              <c16:uniqueId val="{00000000-31F7-4813-B948-080DB0594F86}"/>
            </c:ext>
          </c:extLst>
        </c:ser>
        <c:dLbls>
          <c:showLegendKey val="0"/>
          <c:showVal val="0"/>
          <c:showCatName val="0"/>
          <c:showSerName val="0"/>
          <c:showPercent val="0"/>
          <c:showBubbleSize val="0"/>
        </c:dLbls>
        <c:smooth val="0"/>
        <c:axId val="1549405631"/>
        <c:axId val="1549391711"/>
      </c:lineChart>
      <c:dateAx>
        <c:axId val="1549405631"/>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91711"/>
        <c:crosses val="autoZero"/>
        <c:auto val="1"/>
        <c:lblOffset val="100"/>
        <c:baseTimeUnit val="days"/>
      </c:dateAx>
      <c:valAx>
        <c:axId val="15493917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40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[Tesla_Social_Media_Analytics_Main.xlsx]Engagement Analysis 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Engagement</a:t>
            </a:r>
            <a:r>
              <a:rPr lang="en-GB" baseline="0"/>
              <a:t> Rate Vs Platform </a:t>
            </a:r>
            <a:endParaRPr lang="en-GB"/>
          </a:p>
        </c:rich>
      </c:tx>
      <c:layout>
        <c:manualLayout>
          <c:xMode val="edge"/>
          <c:yMode val="edge"/>
          <c:x val="0.32072900262467191"/>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'Engagement Analysis 1'!$B$2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'Engagement Analysis 1'!$A$3:$A$6</c:f>
              <c:strCache>
                <c:ptCount val="4"/>
                <c:pt idx="0">
                  <c:v>Instagram</c:v>
                </c:pt>
                <c:pt idx="1">
                  <c:v>Twitter</c:v>
                </c:pt>
                <c:pt idx="2">
                  <c:v>YouTube</c:v>
                </c:pt>
                <c:pt idx="3">
                  <c:v>Facebook</c:v>
                </c:pt>
              </c:strCache>
            </c:strRef>
          </c:cat>
          <c:val>
            <c:numRef>
              <c:f>'Engagement Analysis 1'!$B$3:$B$6</c:f>
              <c:numCache>
                <c:formatCode>0.00%</c:formatCode>
                <c:ptCount val="4"/>
                <c:pt idx="0">
                  <c:v>0.19329257693923488</c:v>
                </c:pt>
                <c:pt idx="1">
                  <c:v>0.14368407434207892</c:v>
                </c:pt>
                <c:pt idx="2">
                  <c:v>0.13118493770753806</c:v>
                </c:pt>
                <c:pt idx="3">
                  <c:v>0.12197289956132547</c:v>
                </c:pt>
              </c:numCache>
            </c:numRef>
          </c:val>
          <c:extLst>
            <c:ext xmlns:c16="http://schemas.microsoft.com/office/drawing/2014/chart" uri="{C3380CC4-5D6E-409C-BE32-E72D297353CC}">
              <c16:uniqueId val="{00000000-8F01-473F-A0EE-5533720BE19C}"/>
            </c:ext>
          </c:extLst>
        </c:ser>
        <c:dLbls>
          <c:dLblPos val="outEnd"/>
          <c:showLegendKey val="0"/>
          <c:showVal val="1"/>
          <c:showCatName val="0"/>
          <c:showSerName val="0"/>
          <c:showPercent val="0"/>
          <c:showBubbleSize val="0"/>
        </c:dLbls>
        <c:gapWidth val="182"/>
        <c:axId val="1377986672"/>
        <c:axId val="1377984752"/>
      </c:barChart>
      <c:catAx>
        <c:axId val="1377986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984752"/>
        <c:crosses val="autoZero"/>
        <c:auto val="1"/>
        <c:lblAlgn val="ctr"/>
        <c:lblOffset val="100"/>
        <c:noMultiLvlLbl val="0"/>
      </c:catAx>
      <c:valAx>
        <c:axId val="137798475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98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[Tesla_Social_Media_Analytics_Main.xlsx]Engagement Analysis 2!PivotTable18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Hashtag</a:t>
            </a:r>
            <a:r>
              <a:rPr lang="en-US" baseline="0"/>
              <a: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87D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87D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'Engagement Analysis 2'!$B$40</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06D-4B62-ACD1-96212613274A}"/>
              </c:ext>
            </c:extLst>
          </c:dPt>
          <c:dPt>
            <c:idx val="1"/>
            <c:bubble3D val="0"/>
            <c:spPr>
              <a:solidFill>
                <a:schemeClr val="accent2"/>
              </a:solidFill>
              <a:ln>
                <a:noFill/>
              </a:ln>
              <a:effectLst/>
            </c:spPr>
            <c:extLst>
              <c:ext xmlns:c16="http://schemas.microsoft.com/office/drawing/2014/chart" uri="{C3380CC4-5D6E-409C-BE32-E72D297353CC}">
                <c16:uniqueId val="{00000003-406D-4B62-ACD1-96212613274A}"/>
              </c:ext>
            </c:extLst>
          </c:dPt>
          <c:dPt>
            <c:idx val="2"/>
            <c:bubble3D val="0"/>
            <c:spPr>
              <a:solidFill>
                <a:schemeClr val="accent3"/>
              </a:solidFill>
              <a:ln>
                <a:noFill/>
              </a:ln>
              <a:effectLst/>
            </c:spPr>
            <c:extLst>
              <c:ext xmlns:c16="http://schemas.microsoft.com/office/drawing/2014/chart" uri="{C3380CC4-5D6E-409C-BE32-E72D297353CC}">
                <c16:uniqueId val="{00000005-406D-4B62-ACD1-96212613274A}"/>
              </c:ext>
            </c:extLst>
          </c:dPt>
          <c:dPt>
            <c:idx val="3"/>
            <c:bubble3D val="0"/>
            <c:spPr>
              <a:solidFill>
                <a:schemeClr val="accent4"/>
              </a:solidFill>
              <a:ln>
                <a:noFill/>
              </a:ln>
              <a:effectLst/>
            </c:spPr>
            <c:extLst>
              <c:ext xmlns:c16="http://schemas.microsoft.com/office/drawing/2014/chart" uri="{C3380CC4-5D6E-409C-BE32-E72D297353CC}">
                <c16:uniqueId val="{00000007-406D-4B62-ACD1-96212613274A}"/>
              </c:ext>
            </c:extLst>
          </c:dPt>
          <c:dPt>
            <c:idx val="4"/>
            <c:bubble3D val="0"/>
            <c:spPr>
              <a:solidFill>
                <a:schemeClr val="accent5"/>
              </a:solidFill>
              <a:ln>
                <a:noFill/>
              </a:ln>
              <a:effectLst/>
            </c:spPr>
            <c:extLst>
              <c:ext xmlns:c16="http://schemas.microsoft.com/office/drawing/2014/chart" uri="{C3380CC4-5D6E-409C-BE32-E72D297353CC}">
                <c16:uniqueId val="{00000009-406D-4B62-ACD1-96212613274A}"/>
              </c:ext>
            </c:extLst>
          </c:dPt>
          <c:dPt>
            <c:idx val="5"/>
            <c:bubble3D val="0"/>
            <c:spPr>
              <a:solidFill>
                <a:schemeClr val="accent6"/>
              </a:solidFill>
              <a:ln>
                <a:noFill/>
              </a:ln>
              <a:effectLst/>
            </c:spPr>
            <c:extLst>
              <c:ext xmlns:c16="http://schemas.microsoft.com/office/drawing/2014/chart" uri="{C3380CC4-5D6E-409C-BE32-E72D297353CC}">
                <c16:uniqueId val="{0000000B-406D-4B62-ACD1-9621261327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'Engagement Analysis 2'!$A$41:$A$46</c:f>
              <c:strCache>
                <c:ptCount val="6"/>
                <c:pt idx="0">
                  <c:v>#EVRevolution</c:v>
                </c:pt>
                <c:pt idx="1">
                  <c:v>#TeslaCoInnovation</c:v>
                </c:pt>
                <c:pt idx="2">
                  <c:v>#FutureOfDriving</c:v>
                </c:pt>
                <c:pt idx="3">
                  <c:v>#BetterWithTesla</c:v>
                </c:pt>
                <c:pt idx="4">
                  <c:v>#AnytimeIsTeslaTime</c:v>
                </c:pt>
                <c:pt idx="5">
                  <c:v>#SmoothLikeNitroTesla</c:v>
                </c:pt>
              </c:strCache>
            </c:strRef>
          </c:cat>
          <c:val>
            <c:numRef>
              <c:f>'Engagement Analysis 2'!$B$41:$B$46</c:f>
              <c:numCache>
                <c:formatCode>0.00%</c:formatCode>
                <c:ptCount val="6"/>
                <c:pt idx="0">
                  <c:v>0.15386132749296613</c:v>
                </c:pt>
                <c:pt idx="1">
                  <c:v>0.14515321153500599</c:v>
                </c:pt>
                <c:pt idx="2">
                  <c:v>0.14123247081320281</c:v>
                </c:pt>
                <c:pt idx="3">
                  <c:v>0.12589594685729985</c:v>
                </c:pt>
                <c:pt idx="4">
                  <c:v>0.11636073778371317</c:v>
                </c:pt>
                <c:pt idx="5">
                  <c:v>0.11481753670769271</c:v>
                </c:pt>
              </c:numCache>
            </c:numRef>
          </c:val>
          <c:extLst>
            <c:ext xmlns:c16="http://schemas.microsoft.com/office/drawing/2014/chart" uri="{C3380CC4-5D6E-409C-BE32-E72D297353CC}">
              <c16:uniqueId val="{00000000-6605-487A-8A18-983DF66F4B9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[Tesla_Social_Media_Analytics_Main.xlsx]Platform Analysis 1!PivotTable25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Follower</a:t>
            </a:r>
            <a:r>
              <a:rPr lang="en-GB" baseline="0"/>
              <a:t> Growth Vs Platform</a:t>
            </a:r>
          </a:p>
        </c:rich>
      </c:tx>
      <c:layout>
        <c:manualLayout>
          <c:xMode val="edge"/>
          <c:yMode val="edge"/>
          <c:x val="0.26356930407375073"/>
          <c:y val="0.157696041419480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lumMod val="50000"/>
              </a:schemeClr>
            </a:solidFill>
            <a:round/>
          </a:ln>
          <a:effectLst/>
        </c:spPr>
        <c:marker>
          <c:symbol val="none"/>
        </c:marker>
        <c:dLbl>
          <c:idx val="0"/>
          <c:layout>
            <c:manualLayout>
              <c:x val="-5.4009833758350306E-2"/>
              <c:y val="-0.10958904109589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lumMod val="50000"/>
              </a:schemeClr>
            </a:solidFill>
            <a:round/>
          </a:ln>
          <a:effectLst/>
        </c:spPr>
        <c:marker>
          <c:symbol val="none"/>
        </c:marker>
        <c:dLbl>
          <c:idx val="0"/>
          <c:layout>
            <c:manualLayout>
              <c:x val="-5.139971983407074E-2"/>
              <c:y val="-4.93150684931506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lumMod val="50000"/>
              </a:schemeClr>
            </a:solidFill>
            <a:round/>
          </a:ln>
          <a:effectLst/>
        </c:spPr>
        <c:marker>
          <c:symbol val="none"/>
        </c:marker>
        <c:dLbl>
          <c:idx val="0"/>
          <c:layout>
            <c:manualLayout>
              <c:x val="-5.139971983407074E-2"/>
              <c:y val="-4.3835616438356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50000"/>
              </a:schemeClr>
            </a:solidFill>
            <a:round/>
          </a:ln>
          <a:effectLst/>
        </c:spPr>
        <c:marker>
          <c:symbol val="none"/>
        </c:marker>
        <c:dLbl>
          <c:idx val="0"/>
          <c:layout>
            <c:manualLayout>
              <c:x val="-5.4009833758350306E-2"/>
              <c:y val="2.19178082191780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'Platform Analysis 1'!$B$20</c:f>
              <c:strCache>
                <c:ptCount val="1"/>
                <c:pt idx="0">
                  <c:v>Avg Followers Gained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 Analysis 1'!$A$21:$A$24</c:f>
              <c:strCache>
                <c:ptCount val="4"/>
                <c:pt idx="0">
                  <c:v>Instagram</c:v>
                </c:pt>
                <c:pt idx="1">
                  <c:v>Twitter</c:v>
                </c:pt>
                <c:pt idx="2">
                  <c:v>Facebook</c:v>
                </c:pt>
                <c:pt idx="3">
                  <c:v>YouTube</c:v>
                </c:pt>
              </c:strCache>
            </c:strRef>
          </c:cat>
          <c:val>
            <c:numRef>
              <c:f>'Platform Analysis 1'!$B$21:$B$24</c:f>
              <c:numCache>
                <c:formatCode>0</c:formatCode>
                <c:ptCount val="4"/>
                <c:pt idx="0">
                  <c:v>960.08</c:v>
                </c:pt>
                <c:pt idx="1">
                  <c:v>823.54</c:v>
                </c:pt>
                <c:pt idx="2">
                  <c:v>711.14</c:v>
                </c:pt>
                <c:pt idx="3">
                  <c:v>707.34</c:v>
                </c:pt>
              </c:numCache>
            </c:numRef>
          </c:val>
          <c:extLst>
            <c:ext xmlns:c16="http://schemas.microsoft.com/office/drawing/2014/chart" uri="{C3380CC4-5D6E-409C-BE32-E72D297353CC}">
              <c16:uniqueId val="{00000000-C78E-4329-93BC-8D3FA66F975D}"/>
            </c:ext>
          </c:extLst>
        </c:ser>
        <c:dLbls>
          <c:dLblPos val="inBase"/>
          <c:showLegendKey val="0"/>
          <c:showVal val="1"/>
          <c:showCatName val="0"/>
          <c:showSerName val="0"/>
          <c:showPercent val="0"/>
          <c:showBubbleSize val="0"/>
        </c:dLbls>
        <c:gapWidth val="219"/>
        <c:overlap val="-27"/>
        <c:axId val="152992895"/>
        <c:axId val="152994815"/>
      </c:barChart>
      <c:lineChart>
        <c:grouping val="standard"/>
        <c:varyColors val="0"/>
        <c:ser>
          <c:idx val="1"/>
          <c:order val="1"/>
          <c:tx>
            <c:strRef>
              <c:f>'Platform Analysis 1'!$C$20</c:f>
              <c:strCache>
                <c:ptCount val="1"/>
                <c:pt idx="0">
                  <c:v>Avg Growth Rate</c:v>
                </c:pt>
              </c:strCache>
            </c:strRef>
          </c:tx>
          <c:spPr>
            <a:ln w="28575" cap="rnd">
              <a:solidFill>
                <a:schemeClr val="accent6">
                  <a:lumMod val="50000"/>
                </a:schemeClr>
              </a:solidFill>
              <a:round/>
            </a:ln>
            <a:effectLst/>
          </c:spPr>
          <c:marker>
            <c:symbol val="none"/>
          </c:marker>
          <c:dPt>
            <c:idx val="0"/>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5-C78E-4329-93BC-8D3FA66F975D}"/>
              </c:ext>
            </c:extLst>
          </c:dPt>
          <c:dPt>
            <c:idx val="1"/>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4-C78E-4329-93BC-8D3FA66F975D}"/>
              </c:ext>
            </c:extLst>
          </c:dPt>
          <c:dPt>
            <c:idx val="2"/>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2-C78E-4329-93BC-8D3FA66F975D}"/>
              </c:ext>
            </c:extLst>
          </c:dPt>
          <c:dPt>
            <c:idx val="3"/>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3-C78E-4329-93BC-8D3FA66F975D}"/>
              </c:ext>
            </c:extLst>
          </c:dPt>
          <c:dLbls>
            <c:dLbl>
              <c:idx val="0"/>
              <c:layout>
                <c:manualLayout>
                  <c:x val="-5.4009833758350306E-2"/>
                  <c:y val="2.19178082191780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78E-4329-93BC-8D3FA66F975D}"/>
                </c:ext>
              </c:extLst>
            </c:dLbl>
            <c:dLbl>
              <c:idx val="1"/>
              <c:layout>
                <c:manualLayout>
                  <c:x val="-5.139971983407074E-2"/>
                  <c:y val="-4.38356164383561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78E-4329-93BC-8D3FA66F975D}"/>
                </c:ext>
              </c:extLst>
            </c:dLbl>
            <c:dLbl>
              <c:idx val="2"/>
              <c:layout>
                <c:manualLayout>
                  <c:x val="-5.4009833758350306E-2"/>
                  <c:y val="-0.1095890410958904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78E-4329-93BC-8D3FA66F975D}"/>
                </c:ext>
              </c:extLst>
            </c:dLbl>
            <c:dLbl>
              <c:idx val="3"/>
              <c:layout>
                <c:manualLayout>
                  <c:x val="-5.139971983407074E-2"/>
                  <c:y val="-4.93150684931506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78E-4329-93BC-8D3FA66F97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 Analysis 1'!$A$21:$A$24</c:f>
              <c:strCache>
                <c:ptCount val="4"/>
                <c:pt idx="0">
                  <c:v>Instagram</c:v>
                </c:pt>
                <c:pt idx="1">
                  <c:v>Twitter</c:v>
                </c:pt>
                <c:pt idx="2">
                  <c:v>Facebook</c:v>
                </c:pt>
                <c:pt idx="3">
                  <c:v>YouTube</c:v>
                </c:pt>
              </c:strCache>
            </c:strRef>
          </c:cat>
          <c:val>
            <c:numRef>
              <c:f>'Platform Analysis 1'!$C$21:$C$24</c:f>
              <c:numCache>
                <c:formatCode>0.00%</c:formatCode>
                <c:ptCount val="4"/>
                <c:pt idx="0">
                  <c:v>5.8423705678845419E-3</c:v>
                </c:pt>
                <c:pt idx="1">
                  <c:v>9.8462444971903259E-3</c:v>
                </c:pt>
                <c:pt idx="2">
                  <c:v>5.6172953917649152E-3</c:v>
                </c:pt>
                <c:pt idx="3">
                  <c:v>9.4326224481468494E-3</c:v>
                </c:pt>
              </c:numCache>
            </c:numRef>
          </c:val>
          <c:smooth val="0"/>
          <c:extLst>
            <c:ext xmlns:c16="http://schemas.microsoft.com/office/drawing/2014/chart" uri="{C3380CC4-5D6E-409C-BE32-E72D297353CC}">
              <c16:uniqueId val="{00000001-C78E-4329-93BC-8D3FA66F975D}"/>
            </c:ext>
          </c:extLst>
        </c:ser>
        <c:dLbls>
          <c:showLegendKey val="0"/>
          <c:showVal val="1"/>
          <c:showCatName val="0"/>
          <c:showSerName val="0"/>
          <c:showPercent val="0"/>
          <c:showBubbleSize val="0"/>
        </c:dLbls>
        <c:marker val="1"/>
        <c:smooth val="0"/>
        <c:axId val="152993855"/>
        <c:axId val="152997695"/>
      </c:lineChart>
      <c:catAx>
        <c:axId val="15299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94815"/>
        <c:crosses val="autoZero"/>
        <c:auto val="1"/>
        <c:lblAlgn val="ctr"/>
        <c:lblOffset val="100"/>
        <c:noMultiLvlLbl val="0"/>
      </c:catAx>
      <c:valAx>
        <c:axId val="1529948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92895"/>
        <c:crosses val="autoZero"/>
        <c:crossBetween val="between"/>
      </c:valAx>
      <c:valAx>
        <c:axId val="15299769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93855"/>
        <c:crosses val="max"/>
        <c:crossBetween val="between"/>
      </c:valAx>
      <c:catAx>
        <c:axId val="152993855"/>
        <c:scaling>
          <c:orientation val="minMax"/>
        </c:scaling>
        <c:delete val="1"/>
        <c:axPos val="b"/>
        <c:numFmt formatCode="General" sourceLinked="1"/>
        <c:majorTickMark val="out"/>
        <c:minorTickMark val="none"/>
        <c:tickLblPos val="nextTo"/>
        <c:crossAx val="1529976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[Tesla_Social_Media_Analytics_Main.xlsx]Hashtag &amp; Content Strategy 2!PivotTable9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Content Performance</a:t>
            </a:r>
            <a:r>
              <a:rPr lang="en-US" baseline="0"/>
              <a:t> </a:t>
            </a:r>
            <a:endParaRPr lang="en-US"/>
          </a:p>
        </c:rich>
      </c:tx>
      <c:layout>
        <c:manualLayout>
          <c:xMode val="edge"/>
          <c:yMode val="edge"/>
          <c:x val="0.39179714709574348"/>
          <c:y val="0.11934966462525518"/>
        </c:manualLayout>
      </c:layout>
      <c:overlay val="0"/>
      <c:spPr>
        <a:noFill/>
        <a:ln>
          <a:noFill/>
        </a:ln>
        <a:effectLst/>
      </c:spPr>
    </c:title>
    <c:autoTitleDeleted val="0"/>
    <c:pivotFmts>
      <c:pivotFmt>
        <c:idx val="0"/>
        <c:spPr>
          <a:solidFill>
            <a:srgbClr val="E87D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87D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effectLst/>
        </c:spPr>
        <c:marker>
          <c:symbol val="none"/>
        </c:marker>
        <c:dLbl>
          <c:idx val="0"/>
          <c:delete val="1"/>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1"/>
        <c:ser>
          <c:idx val="0"/>
          <c:order val="0"/>
          <c:tx>
            <c:strRef>
              <c:f>'Hashtag &amp; Content Strategy 2'!$B$3</c:f>
              <c:strCache>
                <c:ptCount val="1"/>
                <c:pt idx="0">
                  <c:v>Avg Engagements</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36D5-4CEC-A743-1B2F22BBC8EC}"/>
              </c:ext>
            </c:extLst>
          </c:dPt>
          <c:dPt>
            <c:idx val="1"/>
            <c:invertIfNegative val="0"/>
            <c:bubble3D val="0"/>
            <c:extLst>
              <c:ext xmlns:c16="http://schemas.microsoft.com/office/drawing/2014/chart" uri="{C3380CC4-5D6E-409C-BE32-E72D297353CC}">
                <c16:uniqueId val="{00000003-36D5-4CEC-A743-1B2F22BBC8EC}"/>
              </c:ext>
            </c:extLst>
          </c:dPt>
          <c:dPt>
            <c:idx val="2"/>
            <c:invertIfNegative val="0"/>
            <c:bubble3D val="0"/>
            <c:extLst>
              <c:ext xmlns:c16="http://schemas.microsoft.com/office/drawing/2014/chart" uri="{C3380CC4-5D6E-409C-BE32-E72D297353CC}">
                <c16:uniqueId val="{00000005-36D5-4CEC-A743-1B2F22BBC8EC}"/>
              </c:ext>
            </c:extLst>
          </c:dPt>
          <c:dPt>
            <c:idx val="3"/>
            <c:invertIfNegative val="0"/>
            <c:bubble3D val="0"/>
            <c:extLst>
              <c:ext xmlns:c16="http://schemas.microsoft.com/office/drawing/2014/chart" uri="{C3380CC4-5D6E-409C-BE32-E72D297353CC}">
                <c16:uniqueId val="{00000007-36D5-4CEC-A743-1B2F22BBC8EC}"/>
              </c:ext>
            </c:extLst>
          </c:dPt>
          <c:dPt>
            <c:idx val="4"/>
            <c:invertIfNegative val="0"/>
            <c:bubble3D val="0"/>
            <c:extLst>
              <c:ext xmlns:c16="http://schemas.microsoft.com/office/drawing/2014/chart" uri="{C3380CC4-5D6E-409C-BE32-E72D297353CC}">
                <c16:uniqueId val="{00000009-36D5-4CEC-A743-1B2F22BBC8EC}"/>
              </c:ext>
            </c:extLst>
          </c:dPt>
          <c:dPt>
            <c:idx val="5"/>
            <c:invertIfNegative val="0"/>
            <c:bubble3D val="0"/>
            <c:extLst>
              <c:ext xmlns:c16="http://schemas.microsoft.com/office/drawing/2014/chart" uri="{C3380CC4-5D6E-409C-BE32-E72D297353CC}">
                <c16:uniqueId val="{0000000B-36D5-4CEC-A743-1B2F22BBC8EC}"/>
              </c:ext>
            </c:extLst>
          </c:dPt>
          <c:cat>
            <c:strRef>
              <c:f>'Hashtag &amp; Content Strategy 2'!$A$4:$A$9</c:f>
              <c:strCache>
                <c:ptCount val="6"/>
                <c:pt idx="0">
                  <c:v>Text</c:v>
                </c:pt>
                <c:pt idx="1">
                  <c:v>Image</c:v>
                </c:pt>
                <c:pt idx="2">
                  <c:v>Video</c:v>
                </c:pt>
                <c:pt idx="3">
                  <c:v>Carousel</c:v>
                </c:pt>
                <c:pt idx="4">
                  <c:v>Reel</c:v>
                </c:pt>
                <c:pt idx="5">
                  <c:v>Story</c:v>
                </c:pt>
              </c:strCache>
            </c:strRef>
          </c:cat>
          <c:val>
            <c:numRef>
              <c:f>'Hashtag &amp; Content Strategy 2'!$B$4:$B$9</c:f>
              <c:numCache>
                <c:formatCode>0</c:formatCode>
                <c:ptCount val="6"/>
                <c:pt idx="0">
                  <c:v>3463.6666666666665</c:v>
                </c:pt>
                <c:pt idx="1">
                  <c:v>3483.0158730158732</c:v>
                </c:pt>
                <c:pt idx="2">
                  <c:v>3415.5581395348836</c:v>
                </c:pt>
                <c:pt idx="3">
                  <c:v>3440.3050847457625</c:v>
                </c:pt>
                <c:pt idx="4">
                  <c:v>3456.7234042553191</c:v>
                </c:pt>
                <c:pt idx="5">
                  <c:v>3490.217391304348</c:v>
                </c:pt>
              </c:numCache>
            </c:numRef>
          </c:val>
          <c:extLst>
            <c:ext xmlns:c16="http://schemas.microsoft.com/office/drawing/2014/chart" uri="{C3380CC4-5D6E-409C-BE32-E72D297353CC}">
              <c16:uniqueId val="{00000000-B124-4078-A3F3-F29816D2391E}"/>
            </c:ext>
          </c:extLst>
        </c:ser>
        <c:dLbls>
          <c:showLegendKey val="0"/>
          <c:showVal val="0"/>
          <c:showCatName val="0"/>
          <c:showSerName val="0"/>
          <c:showPercent val="0"/>
          <c:showBubbleSize val="0"/>
        </c:dLbls>
        <c:gapWidth val="182"/>
        <c:axId val="152530015"/>
        <c:axId val="152527135"/>
      </c:barChart>
      <c:lineChart>
        <c:grouping val="standard"/>
        <c:varyColors val="1"/>
        <c:ser>
          <c:idx val="1"/>
          <c:order val="1"/>
          <c:tx>
            <c:strRef>
              <c:f>'Hashtag &amp; Content Strategy 2'!$C$3</c:f>
              <c:strCache>
                <c:ptCount val="1"/>
                <c:pt idx="0">
                  <c:v>Avg Engagement Rate</c:v>
                </c:pt>
              </c:strCache>
            </c:strRef>
          </c:tx>
          <c:spPr>
            <a:effectLst/>
          </c:spPr>
          <c:marker>
            <c:symbol val="none"/>
          </c:marker>
          <c:dPt>
            <c:idx val="0"/>
            <c:bubble3D val="0"/>
            <c:extLst>
              <c:ext xmlns:c16="http://schemas.microsoft.com/office/drawing/2014/chart" uri="{C3380CC4-5D6E-409C-BE32-E72D297353CC}">
                <c16:uniqueId val="{00000007-9D52-42A1-BA38-187B3436BBC3}"/>
              </c:ext>
            </c:extLst>
          </c:dPt>
          <c:dPt>
            <c:idx val="1"/>
            <c:bubble3D val="0"/>
            <c:extLst>
              <c:ext xmlns:c16="http://schemas.microsoft.com/office/drawing/2014/chart" uri="{C3380CC4-5D6E-409C-BE32-E72D297353CC}">
                <c16:uniqueId val="{00000009-9D52-42A1-BA38-187B3436BBC3}"/>
              </c:ext>
            </c:extLst>
          </c:dPt>
          <c:dPt>
            <c:idx val="2"/>
            <c:bubble3D val="0"/>
            <c:extLst>
              <c:ext xmlns:c16="http://schemas.microsoft.com/office/drawing/2014/chart" uri="{C3380CC4-5D6E-409C-BE32-E72D297353CC}">
                <c16:uniqueId val="{0000000B-9D52-42A1-BA38-187B3436BBC3}"/>
              </c:ext>
            </c:extLst>
          </c:dPt>
          <c:dPt>
            <c:idx val="3"/>
            <c:bubble3D val="0"/>
            <c:extLst>
              <c:ext xmlns:c16="http://schemas.microsoft.com/office/drawing/2014/chart" uri="{C3380CC4-5D6E-409C-BE32-E72D297353CC}">
                <c16:uniqueId val="{0000000D-9D52-42A1-BA38-187B3436BBC3}"/>
              </c:ext>
            </c:extLst>
          </c:dPt>
          <c:dPt>
            <c:idx val="4"/>
            <c:bubble3D val="0"/>
            <c:extLst>
              <c:ext xmlns:c16="http://schemas.microsoft.com/office/drawing/2014/chart" uri="{C3380CC4-5D6E-409C-BE32-E72D297353CC}">
                <c16:uniqueId val="{0000000F-9D52-42A1-BA38-187B3436BBC3}"/>
              </c:ext>
            </c:extLst>
          </c:dPt>
          <c:dPt>
            <c:idx val="5"/>
            <c:bubble3D val="0"/>
            <c:extLst>
              <c:ext xmlns:c16="http://schemas.microsoft.com/office/drawing/2014/chart" uri="{C3380CC4-5D6E-409C-BE32-E72D297353CC}">
                <c16:uniqueId val="{00000011-9D52-42A1-BA38-187B3436BBC3}"/>
              </c:ext>
            </c:extLst>
          </c:dPt>
          <c:cat>
            <c:strRef>
              <c:f>'Hashtag &amp; Content Strategy 2'!$A$4:$A$9</c:f>
              <c:strCache>
                <c:ptCount val="6"/>
                <c:pt idx="0">
                  <c:v>Text</c:v>
                </c:pt>
                <c:pt idx="1">
                  <c:v>Image</c:v>
                </c:pt>
                <c:pt idx="2">
                  <c:v>Video</c:v>
                </c:pt>
                <c:pt idx="3">
                  <c:v>Carousel</c:v>
                </c:pt>
                <c:pt idx="4">
                  <c:v>Reel</c:v>
                </c:pt>
                <c:pt idx="5">
                  <c:v>Story</c:v>
                </c:pt>
              </c:strCache>
            </c:strRef>
          </c:cat>
          <c:val>
            <c:numRef>
              <c:f>'Hashtag &amp; Content Strategy 2'!$C$4:$C$9</c:f>
              <c:numCache>
                <c:formatCode>0.00%</c:formatCode>
                <c:ptCount val="6"/>
                <c:pt idx="0">
                  <c:v>0.11750673823506556</c:v>
                </c:pt>
                <c:pt idx="1">
                  <c:v>0.136874940548697</c:v>
                </c:pt>
                <c:pt idx="2">
                  <c:v>0.14814844474464284</c:v>
                </c:pt>
                <c:pt idx="3">
                  <c:v>0.14814919934149992</c:v>
                </c:pt>
                <c:pt idx="4">
                  <c:v>0.15615682164328951</c:v>
                </c:pt>
                <c:pt idx="5">
                  <c:v>0.18425775384163354</c:v>
                </c:pt>
              </c:numCache>
            </c:numRef>
          </c:val>
          <c:smooth val="0"/>
          <c:extLst>
            <c:ext xmlns:c16="http://schemas.microsoft.com/office/drawing/2014/chart" uri="{C3380CC4-5D6E-409C-BE32-E72D297353CC}">
              <c16:uniqueId val="{0000000C-F634-4BAA-BDAF-6BD9E924A6E5}"/>
            </c:ext>
          </c:extLst>
        </c:ser>
        <c:dLbls>
          <c:showLegendKey val="0"/>
          <c:showVal val="0"/>
          <c:showCatName val="0"/>
          <c:showSerName val="0"/>
          <c:showPercent val="0"/>
          <c:showBubbleSize val="0"/>
        </c:dLbls>
        <c:marker val="1"/>
        <c:smooth val="0"/>
        <c:axId val="1352295679"/>
        <c:axId val="1352294239"/>
      </c:lineChart>
      <c:catAx>
        <c:axId val="15253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27135"/>
        <c:crosses val="autoZero"/>
        <c:auto val="1"/>
        <c:lblAlgn val="ctr"/>
        <c:lblOffset val="100"/>
        <c:noMultiLvlLbl val="0"/>
      </c:catAx>
      <c:valAx>
        <c:axId val="15252713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30015"/>
        <c:crosses val="autoZero"/>
        <c:crossBetween val="between"/>
      </c:valAx>
      <c:valAx>
        <c:axId val="1352294239"/>
        <c:scaling>
          <c:orientation val="minMax"/>
        </c:scaling>
        <c:delete val="0"/>
        <c:axPos val="r"/>
        <c:numFmt formatCode="0.00%" sourceLinked="1"/>
        <c:majorTickMark val="out"/>
        <c:minorTickMark val="none"/>
        <c:tickLblPos val="nextTo"/>
        <c:crossAx val="1352295679"/>
        <c:crosses val="max"/>
        <c:crossBetween val="between"/>
      </c:valAx>
      <c:catAx>
        <c:axId val="1352295679"/>
        <c:scaling>
          <c:orientation val="minMax"/>
        </c:scaling>
        <c:delete val="1"/>
        <c:axPos val="b"/>
        <c:numFmt formatCode="General" sourceLinked="1"/>
        <c:majorTickMark val="out"/>
        <c:minorTickMark val="none"/>
        <c:tickLblPos val="nextTo"/>
        <c:crossAx val="13522942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[Tesla_Social_Media_Analytics_Main.xlsx]Campaign Effectiveness 2!PivotTable13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Campaign</a:t>
            </a:r>
            <a:r>
              <a:rPr lang="en-GB" baseline="0"/>
              <a:t> Cost per Engagement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lumMod val="75000"/>
              </a:schemeClr>
            </a:solidFill>
            <a:round/>
          </a:ln>
          <a:effectLst/>
        </c:spPr>
        <c:marker>
          <c:symbol val="none"/>
        </c:marker>
      </c:pivotFmt>
      <c:pivotFmt>
        <c:idx val="5"/>
        <c:spPr>
          <a:solidFill>
            <a:schemeClr val="accent1"/>
          </a:solidFill>
          <a:ln w="28575" cap="rnd">
            <a:solidFill>
              <a:schemeClr val="accent6">
                <a:lumMod val="75000"/>
              </a:schemeClr>
            </a:solidFill>
            <a:round/>
          </a:ln>
          <a:effectLst/>
        </c:spPr>
        <c:marker>
          <c:symbol val="none"/>
        </c:marker>
      </c:pivotFmt>
      <c:pivotFmt>
        <c:idx val="6"/>
        <c:spPr>
          <a:solidFill>
            <a:schemeClr val="accent1"/>
          </a:solidFill>
          <a:ln w="28575" cap="rnd">
            <a:solidFill>
              <a:schemeClr val="accent6">
                <a:lumMod val="75000"/>
              </a:schemeClr>
            </a:solidFill>
            <a:round/>
          </a:ln>
          <a:effectLst/>
        </c:spPr>
        <c:marker>
          <c:symbol val="none"/>
        </c:marker>
      </c:pivotFmt>
      <c:pivotFmt>
        <c:idx val="7"/>
        <c:spPr>
          <a:solidFill>
            <a:schemeClr val="accent1"/>
          </a:solidFill>
          <a:ln w="28575" cap="rnd">
            <a:solidFill>
              <a:schemeClr val="accent6">
                <a:lumMod val="75000"/>
              </a:schemeClr>
            </a:solidFill>
            <a:round/>
          </a:ln>
          <a:effectLst/>
        </c:spPr>
        <c:marker>
          <c:symbol val="none"/>
        </c:marker>
      </c:pivotFmt>
      <c:pivotFmt>
        <c:idx val="8"/>
        <c:spPr>
          <a:pattFill prst="narHorz">
            <a:fgClr>
              <a:schemeClr val="accent6"/>
            </a:fgClr>
            <a:bgClr>
              <a:schemeClr val="bg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BC7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6"/>
            </a:fgClr>
            <a:bgClr>
              <a:schemeClr val="bg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6BC7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narHorz">
            <a:fgClr>
              <a:schemeClr val="accent6"/>
            </a:fgClr>
            <a:bgClr>
              <a:schemeClr val="bg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6BC7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'Campaign Effectiveness 2'!$B$3</c:f>
              <c:strCache>
                <c:ptCount val="1"/>
                <c:pt idx="0">
                  <c:v>Total Engagements</c:v>
                </c:pt>
              </c:strCache>
            </c:strRef>
          </c:tx>
          <c:spPr>
            <a:pattFill prst="narHorz">
              <a:fgClr>
                <a:schemeClr val="accent6"/>
              </a:fgClr>
              <a:bgClr>
                <a:schemeClr val="bg1"/>
              </a:bgClr>
            </a:pattFill>
            <a:ln>
              <a:noFill/>
            </a:ln>
            <a:effectLst/>
          </c:spPr>
          <c:invertIfNegative val="0"/>
          <c:dPt>
            <c:idx val="0"/>
            <c:invertIfNegative val="0"/>
            <c:bubble3D val="0"/>
            <c:extLst>
              <c:ext xmlns:c16="http://schemas.microsoft.com/office/drawing/2014/chart" uri="{C3380CC4-5D6E-409C-BE32-E72D297353CC}">
                <c16:uniqueId val="{00000000-69D9-4543-A98E-D21650DBB6B4}"/>
              </c:ext>
            </c:extLst>
          </c:dPt>
          <c:dPt>
            <c:idx val="1"/>
            <c:invertIfNegative val="0"/>
            <c:bubble3D val="0"/>
            <c:extLst>
              <c:ext xmlns:c16="http://schemas.microsoft.com/office/drawing/2014/chart" uri="{C3380CC4-5D6E-409C-BE32-E72D297353CC}">
                <c16:uniqueId val="{00000001-69D9-4543-A98E-D21650DBB6B4}"/>
              </c:ext>
            </c:extLst>
          </c:dPt>
          <c:dPt>
            <c:idx val="2"/>
            <c:invertIfNegative val="0"/>
            <c:bubble3D val="0"/>
            <c:extLst>
              <c:ext xmlns:c16="http://schemas.microsoft.com/office/drawing/2014/chart" uri="{C3380CC4-5D6E-409C-BE32-E72D297353CC}">
                <c16:uniqueId val="{00000002-69D9-4543-A98E-D21650DBB6B4}"/>
              </c:ext>
            </c:extLst>
          </c:dPt>
          <c:dPt>
            <c:idx val="3"/>
            <c:invertIfNegative val="0"/>
            <c:bubble3D val="0"/>
            <c:extLst>
              <c:ext xmlns:c16="http://schemas.microsoft.com/office/drawing/2014/chart" uri="{C3380CC4-5D6E-409C-BE32-E72D297353CC}">
                <c16:uniqueId val="{00000003-69D9-4543-A98E-D21650DBB6B4}"/>
              </c:ext>
            </c:extLst>
          </c:dPt>
          <c:cat>
            <c:strRef>
              <c:f>'Campaign Effectiveness 2'!$A$4:$A$7</c:f>
              <c:strCache>
                <c:ptCount val="4"/>
                <c:pt idx="0">
                  <c:v>CybertruckLaunch</c:v>
                </c:pt>
                <c:pt idx="1">
                  <c:v>ModelYCampaign</c:v>
                </c:pt>
                <c:pt idx="2">
                  <c:v>SustainabilityDrive</c:v>
                </c:pt>
                <c:pt idx="3">
                  <c:v>FSDUpdate</c:v>
                </c:pt>
              </c:strCache>
            </c:strRef>
          </c:cat>
          <c:val>
            <c:numRef>
              <c:f>'Campaign Effectiveness 2'!$B$4:$B$7</c:f>
              <c:numCache>
                <c:formatCode>0</c:formatCode>
                <c:ptCount val="4"/>
                <c:pt idx="0">
                  <c:v>103773</c:v>
                </c:pt>
                <c:pt idx="1">
                  <c:v>137691</c:v>
                </c:pt>
                <c:pt idx="2">
                  <c:v>106020</c:v>
                </c:pt>
                <c:pt idx="3">
                  <c:v>33044</c:v>
                </c:pt>
              </c:numCache>
            </c:numRef>
          </c:val>
          <c:extLst>
            <c:ext xmlns:c16="http://schemas.microsoft.com/office/drawing/2014/chart" uri="{C3380CC4-5D6E-409C-BE32-E72D297353CC}">
              <c16:uniqueId val="{00000004-69D9-4543-A98E-D21650DBB6B4}"/>
            </c:ext>
          </c:extLst>
        </c:ser>
        <c:ser>
          <c:idx val="1"/>
          <c:order val="1"/>
          <c:tx>
            <c:strRef>
              <c:f>'Campaign Effectiveness 2'!$C$3</c:f>
              <c:strCache>
                <c:ptCount val="1"/>
                <c:pt idx="0">
                  <c:v>Total Spend</c:v>
                </c:pt>
              </c:strCache>
            </c:strRef>
          </c:tx>
          <c:spPr>
            <a:solidFill>
              <a:srgbClr val="6BC761"/>
            </a:solidFill>
            <a:ln>
              <a:noFill/>
            </a:ln>
            <a:effectLst/>
          </c:spPr>
          <c:invertIfNegative val="0"/>
          <c:cat>
            <c:strRef>
              <c:f>'Campaign Effectiveness 2'!$A$4:$A$7</c:f>
              <c:strCache>
                <c:ptCount val="4"/>
                <c:pt idx="0">
                  <c:v>CybertruckLaunch</c:v>
                </c:pt>
                <c:pt idx="1">
                  <c:v>ModelYCampaign</c:v>
                </c:pt>
                <c:pt idx="2">
                  <c:v>SustainabilityDrive</c:v>
                </c:pt>
                <c:pt idx="3">
                  <c:v>FSDUpdate</c:v>
                </c:pt>
              </c:strCache>
            </c:strRef>
          </c:cat>
          <c:val>
            <c:numRef>
              <c:f>'Campaign Effectiveness 2'!$C$4:$C$7</c:f>
              <c:numCache>
                <c:formatCode>0</c:formatCode>
                <c:ptCount val="4"/>
                <c:pt idx="0">
                  <c:v>150000</c:v>
                </c:pt>
                <c:pt idx="1">
                  <c:v>200000</c:v>
                </c:pt>
                <c:pt idx="2">
                  <c:v>180000</c:v>
                </c:pt>
                <c:pt idx="3">
                  <c:v>250000</c:v>
                </c:pt>
              </c:numCache>
            </c:numRef>
          </c:val>
          <c:extLst>
            <c:ext xmlns:c16="http://schemas.microsoft.com/office/drawing/2014/chart" uri="{C3380CC4-5D6E-409C-BE32-E72D297353CC}">
              <c16:uniqueId val="{00000005-69D9-4543-A98E-D21650DBB6B4}"/>
            </c:ext>
          </c:extLst>
        </c:ser>
        <c:dLbls>
          <c:showLegendKey val="0"/>
          <c:showVal val="0"/>
          <c:showCatName val="0"/>
          <c:showSerName val="0"/>
          <c:showPercent val="0"/>
          <c:showBubbleSize val="0"/>
        </c:dLbls>
        <c:gapWidth val="219"/>
        <c:axId val="584178831"/>
        <c:axId val="587817087"/>
      </c:barChart>
      <c:lineChart>
        <c:grouping val="standard"/>
        <c:varyColors val="0"/>
        <c:ser>
          <c:idx val="2"/>
          <c:order val="2"/>
          <c:tx>
            <c:strRef>
              <c:f>'Campaign Effectiveness 2'!$D$3</c:f>
              <c:strCache>
                <c:ptCount val="1"/>
                <c:pt idx="0">
                  <c:v>Cost Per Engagement - CPE</c:v>
                </c:pt>
              </c:strCache>
            </c:strRef>
          </c:tx>
          <c:spPr>
            <a:ln w="28575" cap="rnd">
              <a:solidFill>
                <a:schemeClr val="accent6">
                  <a:lumMod val="75000"/>
                </a:schemeClr>
              </a:solidFill>
              <a:round/>
            </a:ln>
            <a:effectLst/>
          </c:spPr>
          <c:marker>
            <c:symbol val="none"/>
          </c:marker>
          <c:cat>
            <c:strRef>
              <c:f>'Campaign Effectiveness 2'!$A$4:$A$7</c:f>
              <c:strCache>
                <c:ptCount val="4"/>
                <c:pt idx="0">
                  <c:v>CybertruckLaunch</c:v>
                </c:pt>
                <c:pt idx="1">
                  <c:v>ModelYCampaign</c:v>
                </c:pt>
                <c:pt idx="2">
                  <c:v>SustainabilityDrive</c:v>
                </c:pt>
                <c:pt idx="3">
                  <c:v>FSDUpdate</c:v>
                </c:pt>
              </c:strCache>
            </c:strRef>
          </c:cat>
          <c:val>
            <c:numRef>
              <c:f>'Campaign Effectiveness 2'!$D$4:$D$7</c:f>
              <c:numCache>
                <c:formatCode>0.000</c:formatCode>
                <c:ptCount val="4"/>
                <c:pt idx="0">
                  <c:v>1.4454626926079037</c:v>
                </c:pt>
                <c:pt idx="1">
                  <c:v>1.4525277614368404</c:v>
                </c:pt>
                <c:pt idx="2">
                  <c:v>1.6977928692699491</c:v>
                </c:pt>
                <c:pt idx="3">
                  <c:v>7.5656700157365933</c:v>
                </c:pt>
              </c:numCache>
            </c:numRef>
          </c:val>
          <c:smooth val="0"/>
          <c:extLst>
            <c:ext xmlns:c16="http://schemas.microsoft.com/office/drawing/2014/chart" uri="{C3380CC4-5D6E-409C-BE32-E72D297353CC}">
              <c16:uniqueId val="{00000006-69D9-4543-A98E-D21650DBB6B4}"/>
            </c:ext>
          </c:extLst>
        </c:ser>
        <c:dLbls>
          <c:showLegendKey val="0"/>
          <c:showVal val="0"/>
          <c:showCatName val="0"/>
          <c:showSerName val="0"/>
          <c:showPercent val="0"/>
          <c:showBubbleSize val="0"/>
        </c:dLbls>
        <c:marker val="1"/>
        <c:smooth val="0"/>
        <c:axId val="142122255"/>
        <c:axId val="142121775"/>
      </c:lineChart>
      <c:catAx>
        <c:axId val="58417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817087"/>
        <c:crosses val="autoZero"/>
        <c:auto val="1"/>
        <c:lblAlgn val="ctr"/>
        <c:lblOffset val="100"/>
        <c:noMultiLvlLbl val="0"/>
      </c:catAx>
      <c:valAx>
        <c:axId val="5878170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178831"/>
        <c:crosses val="autoZero"/>
        <c:crossBetween val="between"/>
      </c:valAx>
      <c:valAx>
        <c:axId val="142121775"/>
        <c:scaling>
          <c:orientation val="minMax"/>
        </c:scaling>
        <c:delete val="0"/>
        <c:axPos val="r"/>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22255"/>
        <c:crosses val="max"/>
        <c:crossBetween val="between"/>
      </c:valAx>
      <c:catAx>
        <c:axId val="142122255"/>
        <c:scaling>
          <c:orientation val="minMax"/>
        </c:scaling>
        <c:delete val="1"/>
        <c:axPos val="b"/>
        <c:numFmt formatCode="General" sourceLinked="1"/>
        <c:majorTickMark val="out"/>
        <c:minorTickMark val="none"/>
        <c:tickLblPos val="nextTo"/>
        <c:crossAx val="1421217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Follower</a:t>
            </a:r>
            <a:r>
              <a:rPr lang="en-US" baseline="0"/>
              <a:t> </a:t>
            </a:r>
            <a:r>
              <a:rPr lang="en-US"/>
              <a:t>Growth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'Follower Retention &amp; Loyalty 2'!$B$1</c:f>
              <c:strCache>
                <c:ptCount val="1"/>
                <c:pt idx="0">
                  <c:v>Follower-Growth</c:v>
                </c:pt>
              </c:strCache>
            </c:strRef>
          </c:tx>
          <c:spPr>
            <a:ln w="28575" cap="rnd">
              <a:solidFill>
                <a:schemeClr val="accent1"/>
              </a:solidFill>
              <a:round/>
            </a:ln>
            <a:effectLst/>
          </c:spPr>
          <c:marker>
            <c:symbol val="none"/>
          </c:marker>
          <c:trendline>
            <c:spPr>
              <a:ln w="19050" cap="rnd">
                <a:solidFill>
                  <a:schemeClr val="accent1">
                    <a:lumMod val="50000"/>
                  </a:schemeClr>
                </a:solidFill>
                <a:prstDash val="sysDot"/>
              </a:ln>
              <a:effectLst/>
            </c:spPr>
            <c:trendlineType val="linear"/>
            <c:dispRSqr val="0"/>
            <c:dispEq val="0"/>
          </c:trendline>
          <c:cat>
            <c:numRef>
              <c:f>'Follower Retention &amp; Loyalty 2'!$A$2:$A$51</c:f>
              <c:numCache>
                <c:formatCode>m/d/yyyy</c:formatCode>
                <c:ptCount val="50"/>
                <c:pt idx="0">
                  <c:v>45446</c:v>
                </c:pt>
                <c:pt idx="1">
                  <c:v>45453</c:v>
                </c:pt>
                <c:pt idx="2">
                  <c:v>45460</c:v>
                </c:pt>
                <c:pt idx="3">
                  <c:v>45467</c:v>
                </c:pt>
                <c:pt idx="4">
                  <c:v>45474</c:v>
                </c:pt>
                <c:pt idx="5">
                  <c:v>45481</c:v>
                </c:pt>
                <c:pt idx="6">
                  <c:v>45488</c:v>
                </c:pt>
                <c:pt idx="7">
                  <c:v>45495</c:v>
                </c:pt>
                <c:pt idx="8">
                  <c:v>45502</c:v>
                </c:pt>
                <c:pt idx="9">
                  <c:v>45509</c:v>
                </c:pt>
                <c:pt idx="10">
                  <c:v>45516</c:v>
                </c:pt>
                <c:pt idx="11">
                  <c:v>45523</c:v>
                </c:pt>
                <c:pt idx="12">
                  <c:v>45530</c:v>
                </c:pt>
                <c:pt idx="13">
                  <c:v>45537</c:v>
                </c:pt>
                <c:pt idx="14">
                  <c:v>45544</c:v>
                </c:pt>
                <c:pt idx="15">
                  <c:v>45551</c:v>
                </c:pt>
                <c:pt idx="16">
                  <c:v>45558</c:v>
                </c:pt>
                <c:pt idx="17">
                  <c:v>45565</c:v>
                </c:pt>
                <c:pt idx="18">
                  <c:v>45572</c:v>
                </c:pt>
                <c:pt idx="19">
                  <c:v>45579</c:v>
                </c:pt>
                <c:pt idx="20">
                  <c:v>45586</c:v>
                </c:pt>
                <c:pt idx="21">
                  <c:v>45593</c:v>
                </c:pt>
                <c:pt idx="22">
                  <c:v>45600</c:v>
                </c:pt>
                <c:pt idx="23">
                  <c:v>45607</c:v>
                </c:pt>
                <c:pt idx="24">
                  <c:v>45614</c:v>
                </c:pt>
                <c:pt idx="25">
                  <c:v>45621</c:v>
                </c:pt>
                <c:pt idx="26">
                  <c:v>45628</c:v>
                </c:pt>
                <c:pt idx="27">
                  <c:v>45635</c:v>
                </c:pt>
                <c:pt idx="28">
                  <c:v>45642</c:v>
                </c:pt>
                <c:pt idx="29">
                  <c:v>45649</c:v>
                </c:pt>
                <c:pt idx="30">
                  <c:v>45656</c:v>
                </c:pt>
                <c:pt idx="31">
                  <c:v>45663</c:v>
                </c:pt>
                <c:pt idx="32">
                  <c:v>45670</c:v>
                </c:pt>
                <c:pt idx="33">
                  <c:v>45677</c:v>
                </c:pt>
                <c:pt idx="34">
                  <c:v>45684</c:v>
                </c:pt>
                <c:pt idx="35">
                  <c:v>45691</c:v>
                </c:pt>
                <c:pt idx="36">
                  <c:v>45698</c:v>
                </c:pt>
                <c:pt idx="37">
                  <c:v>45705</c:v>
                </c:pt>
                <c:pt idx="38">
                  <c:v>45712</c:v>
                </c:pt>
                <c:pt idx="39">
                  <c:v>45719</c:v>
                </c:pt>
                <c:pt idx="40">
                  <c:v>45726</c:v>
                </c:pt>
                <c:pt idx="41">
                  <c:v>45733</c:v>
                </c:pt>
                <c:pt idx="42">
                  <c:v>45740</c:v>
                </c:pt>
                <c:pt idx="43">
                  <c:v>45747</c:v>
                </c:pt>
                <c:pt idx="44">
                  <c:v>45754</c:v>
                </c:pt>
                <c:pt idx="45">
                  <c:v>45761</c:v>
                </c:pt>
                <c:pt idx="46">
                  <c:v>45768</c:v>
                </c:pt>
                <c:pt idx="47">
                  <c:v>45775</c:v>
                </c:pt>
                <c:pt idx="48">
                  <c:v>45782</c:v>
                </c:pt>
                <c:pt idx="49">
                  <c:v>45789</c:v>
                </c:pt>
              </c:numCache>
            </c:numRef>
          </c:cat>
          <c:val>
            <c:numRef>
              <c:f>'Follower Retention &amp; Loyalty 2'!$B$2:$B$51</c:f>
              <c:numCache>
                <c:formatCode>General</c:formatCode>
                <c:ptCount val="50"/>
                <c:pt idx="0">
                  <c:v>3554</c:v>
                </c:pt>
                <c:pt idx="1">
                  <c:v>2980</c:v>
                </c:pt>
                <c:pt idx="2">
                  <c:v>3907</c:v>
                </c:pt>
                <c:pt idx="3">
                  <c:v>3011</c:v>
                </c:pt>
                <c:pt idx="4">
                  <c:v>1293</c:v>
                </c:pt>
                <c:pt idx="5">
                  <c:v>3042</c:v>
                </c:pt>
                <c:pt idx="6">
                  <c:v>2270</c:v>
                </c:pt>
                <c:pt idx="7">
                  <c:v>2753</c:v>
                </c:pt>
                <c:pt idx="8">
                  <c:v>2193</c:v>
                </c:pt>
                <c:pt idx="9">
                  <c:v>802</c:v>
                </c:pt>
                <c:pt idx="10">
                  <c:v>3728</c:v>
                </c:pt>
                <c:pt idx="11">
                  <c:v>2989</c:v>
                </c:pt>
                <c:pt idx="12">
                  <c:v>2903</c:v>
                </c:pt>
                <c:pt idx="13">
                  <c:v>2822</c:v>
                </c:pt>
                <c:pt idx="14">
                  <c:v>4360</c:v>
                </c:pt>
                <c:pt idx="15">
                  <c:v>1568</c:v>
                </c:pt>
                <c:pt idx="16">
                  <c:v>3333</c:v>
                </c:pt>
                <c:pt idx="17">
                  <c:v>3151</c:v>
                </c:pt>
                <c:pt idx="18">
                  <c:v>3759</c:v>
                </c:pt>
                <c:pt idx="19">
                  <c:v>1856</c:v>
                </c:pt>
                <c:pt idx="20">
                  <c:v>2821</c:v>
                </c:pt>
                <c:pt idx="21">
                  <c:v>2656</c:v>
                </c:pt>
                <c:pt idx="22">
                  <c:v>4584</c:v>
                </c:pt>
                <c:pt idx="23">
                  <c:v>2295</c:v>
                </c:pt>
                <c:pt idx="24">
                  <c:v>528</c:v>
                </c:pt>
                <c:pt idx="25">
                  <c:v>4008</c:v>
                </c:pt>
                <c:pt idx="26">
                  <c:v>4795</c:v>
                </c:pt>
                <c:pt idx="27">
                  <c:v>4792</c:v>
                </c:pt>
                <c:pt idx="28">
                  <c:v>5044</c:v>
                </c:pt>
                <c:pt idx="29">
                  <c:v>3914</c:v>
                </c:pt>
                <c:pt idx="30">
                  <c:v>6530</c:v>
                </c:pt>
                <c:pt idx="31">
                  <c:v>3557</c:v>
                </c:pt>
                <c:pt idx="32">
                  <c:v>2777</c:v>
                </c:pt>
                <c:pt idx="33">
                  <c:v>3614</c:v>
                </c:pt>
                <c:pt idx="34">
                  <c:v>3383</c:v>
                </c:pt>
                <c:pt idx="35">
                  <c:v>2194</c:v>
                </c:pt>
                <c:pt idx="36">
                  <c:v>5281</c:v>
                </c:pt>
                <c:pt idx="37">
                  <c:v>3693</c:v>
                </c:pt>
                <c:pt idx="38">
                  <c:v>4806</c:v>
                </c:pt>
                <c:pt idx="39">
                  <c:v>2410</c:v>
                </c:pt>
                <c:pt idx="40">
                  <c:v>3712</c:v>
                </c:pt>
                <c:pt idx="41">
                  <c:v>4042</c:v>
                </c:pt>
                <c:pt idx="42">
                  <c:v>1616</c:v>
                </c:pt>
                <c:pt idx="43">
                  <c:v>4298</c:v>
                </c:pt>
                <c:pt idx="44">
                  <c:v>2412</c:v>
                </c:pt>
                <c:pt idx="45">
                  <c:v>-137</c:v>
                </c:pt>
                <c:pt idx="46">
                  <c:v>4040</c:v>
                </c:pt>
                <c:pt idx="47">
                  <c:v>3577</c:v>
                </c:pt>
                <c:pt idx="48">
                  <c:v>4594</c:v>
                </c:pt>
                <c:pt idx="49">
                  <c:v>1995</c:v>
                </c:pt>
              </c:numCache>
            </c:numRef>
          </c:val>
          <c:smooth val="0"/>
          <c:extLst>
            <c:ext xmlns:c16="http://schemas.microsoft.com/office/drawing/2014/chart" uri="{C3380CC4-5D6E-409C-BE32-E72D297353CC}">
              <c16:uniqueId val="{00000001-6567-401D-96DA-6EAA282AB915}"/>
            </c:ext>
          </c:extLst>
        </c:ser>
        <c:dLbls>
          <c:showLegendKey val="0"/>
          <c:showVal val="0"/>
          <c:showCatName val="0"/>
          <c:showSerName val="0"/>
          <c:showPercent val="0"/>
          <c:showBubbleSize val="0"/>
        </c:dLbls>
        <c:smooth val="0"/>
        <c:axId val="1549406591"/>
        <c:axId val="1549396991"/>
      </c:lineChart>
      <c:dateAx>
        <c:axId val="1549406591"/>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96991"/>
        <c:crosses val="autoZero"/>
        <c:auto val="1"/>
        <c:lblOffset val="100"/>
        <c:baseTimeUnit val="days"/>
      </c:dateAx>
      <c:valAx>
        <c:axId val="1549396991"/>
        <c:scaling>
          <c:orientation val="minMax"/>
        </c:scaling>
        <c:delete val="1"/>
        <c:axPos val="l"/>
        <c:numFmt formatCode="General" sourceLinked="1"/>
        <c:majorTickMark val="out"/>
        <c:minorTickMark val="none"/>
        <c:tickLblPos val="nextTo"/>
        <c:crossAx val="154940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2</xdr:col>
      <xdr:colOff>641350</xdr:colOff>
      <xdr:row>0</xdr:row>
      <xdr:rowOff>174625</xdr:rowOff>
    </xdr:from>
    <xdr:to>
      <xdr:col>10</xdr:col>
      <xdr:colOff>0</xdr:colOff>
      <xdr:row>15</xdr:row>
      <xdr:rowOff>6350</xdr:rowOff>
    </xdr:to>
    <xdr:graphicFrame macro="">
      <xdr:nvGraphicFramePr>
        <xdr:cNvPr id="2" name="Chart 1">
          <a:extLst>
            <a:ext uri="{FF2B5EF4-FFF2-40B4-BE49-F238E27FC236}">
              <a16:creationId xmlns:a16="http://schemas.microsoft.com/office/drawing/2014/main" id="{2CCA3143-D88D-18D5-B66D-16755C784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634294</xdr:colOff>
      <xdr:row>17</xdr:row>
      <xdr:rowOff>13404</xdr:rowOff>
    </xdr:from>
    <xdr:to>
      <xdr:col>9</xdr:col>
      <xdr:colOff>712610</xdr:colOff>
      <xdr:row>33</xdr:row>
      <xdr:rowOff>1410</xdr:rowOff>
    </xdr:to>
    <xdr:graphicFrame macro="">
      <xdr:nvGraphicFramePr>
        <xdr:cNvPr id="3" name="Chart 2">
          <a:extLst>
            <a:ext uri="{FF2B5EF4-FFF2-40B4-BE49-F238E27FC236}">
              <a16:creationId xmlns:a16="http://schemas.microsoft.com/office/drawing/2014/main" id="{A9413F06-B731-5135-5FA5-519186FFB4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8</xdr:row>
      <xdr:rowOff>6351</xdr:rowOff>
    </xdr:from>
    <xdr:to>
      <xdr:col>1</xdr:col>
      <xdr:colOff>830263</xdr:colOff>
      <xdr:row>14</xdr:row>
      <xdr:rowOff>107950</xdr:rowOff>
    </xdr:to>
    <mc:AlternateContent xmlns:mc="http://schemas.openxmlformats.org/markup-compatibility/2006" xmlns:a14="http://schemas.microsoft.com/office/drawing/2010/main">
      <mc:Choice Requires="a14">
        <xdr:graphicFrame macro="">
          <xdr:nvGraphicFramePr>
            <xdr:cNvPr id="2" name="Content Type">
              <a:extLst>
                <a:ext uri="{FF2B5EF4-FFF2-40B4-BE49-F238E27FC236}">
                  <a16:creationId xmlns:a16="http://schemas.microsoft.com/office/drawing/2014/main" id="{F71A7C91-7DF7-4D1E-5BD8-A7C0D33CE5A3}"/>
                </a:ext>
              </a:extLst>
            </xdr:cNvPr>
            <xdr:cNvGraphicFramePr/>
          </xdr:nvGraphicFramePr>
          <xdr:xfrm>
            <a:off x="0" y="0"/>
            <a:ext cx="0" cy="0"/>
          </xdr:xfrm>
          <a:graphic>
            <a:graphicData uri="http://schemas.microsoft.com/office/drawing/2010/slicer">
              <sle:slicer xmlns:sle="http://schemas.microsoft.com/office/drawing/2010/slicer" name="Content Type"/>
            </a:graphicData>
          </a:graphic>
        </xdr:graphicFrame>
      </mc:Choice>
      <mc:Fallback xmlns="">
        <xdr:sp macro="" textlink="">
          <xdr:nvSpPr>
            <xdr:cNvPr id="0" name=""/>
            <xdr:cNvSpPr>
              <a:spLocks noTextEdit="1"/>
            </xdr:cNvSpPr>
          </xdr:nvSpPr>
          <xdr:spPr>
            <a:xfrm>
              <a:off x="0" y="1466851"/>
              <a:ext cx="2274888" cy="11969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25400</xdr:colOff>
      <xdr:row>1</xdr:row>
      <xdr:rowOff>9525</xdr:rowOff>
    </xdr:from>
    <xdr:to>
      <xdr:col>13</xdr:col>
      <xdr:colOff>6350</xdr:colOff>
      <xdr:row>15</xdr:row>
      <xdr:rowOff>174625</xdr:rowOff>
    </xdr:to>
    <xdr:graphicFrame macro="">
      <xdr:nvGraphicFramePr>
        <xdr:cNvPr id="3" name="Chart 2">
          <a:extLst>
            <a:ext uri="{FF2B5EF4-FFF2-40B4-BE49-F238E27FC236}">
              <a16:creationId xmlns:a16="http://schemas.microsoft.com/office/drawing/2014/main" id="{FCFA7956-33D0-5231-37E4-2C490F7AD8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15874</xdr:colOff>
      <xdr:row>35</xdr:row>
      <xdr:rowOff>3175</xdr:rowOff>
    </xdr:from>
    <xdr:to>
      <xdr:col>10</xdr:col>
      <xdr:colOff>323849</xdr:colOff>
      <xdr:row>49</xdr:row>
      <xdr:rowOff>168275</xdr:rowOff>
    </xdr:to>
    <xdr:graphicFrame macro="">
      <xdr:nvGraphicFramePr>
        <xdr:cNvPr id="4" name="Chart 3">
          <a:extLst>
            <a:ext uri="{FF2B5EF4-FFF2-40B4-BE49-F238E27FC236}">
              <a16:creationId xmlns:a16="http://schemas.microsoft.com/office/drawing/2014/main" id="{CC9CD8A7-9324-DDA7-5F59-C40C1AF86E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15874</xdr:colOff>
      <xdr:row>1</xdr:row>
      <xdr:rowOff>1</xdr:rowOff>
    </xdr:from>
    <xdr:to>
      <xdr:col>11</xdr:col>
      <xdr:colOff>603250</xdr:colOff>
      <xdr:row>15</xdr:row>
      <xdr:rowOff>1</xdr:rowOff>
    </xdr:to>
    <xdr:graphicFrame macro="">
      <xdr:nvGraphicFramePr>
        <xdr:cNvPr id="2" name="Chart 1">
          <a:extLst>
            <a:ext uri="{FF2B5EF4-FFF2-40B4-BE49-F238E27FC236}">
              <a16:creationId xmlns:a16="http://schemas.microsoft.com/office/drawing/2014/main" id="{A581006F-76B3-9326-24F2-5C23177C60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xdr:colOff>
      <xdr:row>18</xdr:row>
      <xdr:rowOff>9525</xdr:rowOff>
    </xdr:from>
    <xdr:to>
      <xdr:col>11</xdr:col>
      <xdr:colOff>317500</xdr:colOff>
      <xdr:row>32</xdr:row>
      <xdr:rowOff>174625</xdr:rowOff>
    </xdr:to>
    <xdr:graphicFrame macro="">
      <xdr:nvGraphicFramePr>
        <xdr:cNvPr id="3" name="Chart 2">
          <a:extLst>
            <a:ext uri="{FF2B5EF4-FFF2-40B4-BE49-F238E27FC236}">
              <a16:creationId xmlns:a16="http://schemas.microsoft.com/office/drawing/2014/main" id="{52C9FEB2-72E8-9A60-8BFD-379BE3AE4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215900</xdr:colOff>
      <xdr:row>1</xdr:row>
      <xdr:rowOff>15875</xdr:rowOff>
    </xdr:from>
    <xdr:to>
      <xdr:col>12</xdr:col>
      <xdr:colOff>19050</xdr:colOff>
      <xdr:row>12</xdr:row>
      <xdr:rowOff>12700</xdr:rowOff>
    </xdr:to>
    <xdr:graphicFrame macro="">
      <xdr:nvGraphicFramePr>
        <xdr:cNvPr id="2" name="Chart 1">
          <a:extLst>
            <a:ext uri="{FF2B5EF4-FFF2-40B4-BE49-F238E27FC236}">
              <a16:creationId xmlns:a16="http://schemas.microsoft.com/office/drawing/2014/main" id="{A7E25DB7-BC85-842A-EEDF-9CB5860CF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73025</xdr:colOff>
      <xdr:row>22</xdr:row>
      <xdr:rowOff>22225</xdr:rowOff>
    </xdr:from>
    <xdr:to>
      <xdr:col>7</xdr:col>
      <xdr:colOff>15875</xdr:colOff>
      <xdr:row>37</xdr:row>
      <xdr:rowOff>3175</xdr:rowOff>
    </xdr:to>
    <xdr:graphicFrame macro="">
      <xdr:nvGraphicFramePr>
        <xdr:cNvPr id="2" name="Chart 1">
          <a:extLst>
            <a:ext uri="{FF2B5EF4-FFF2-40B4-BE49-F238E27FC236}">
              <a16:creationId xmlns:a16="http://schemas.microsoft.com/office/drawing/2014/main" id="{1AA2D9BA-B435-26E7-0F07-0384402159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12700</xdr:colOff>
      <xdr:row>24</xdr:row>
      <xdr:rowOff>19050</xdr:rowOff>
    </xdr:from>
    <xdr:to>
      <xdr:col>6</xdr:col>
      <xdr:colOff>457200</xdr:colOff>
      <xdr:row>32</xdr:row>
      <xdr:rowOff>171449</xdr:rowOff>
    </xdr:to>
    <mc:AlternateContent xmlns:mc="http://schemas.openxmlformats.org/markup-compatibility/2006" xmlns:a14="http://schemas.microsoft.com/office/drawing/2010/main">
      <mc:Choice Requires="a14">
        <xdr:graphicFrame macro="">
          <xdr:nvGraphicFramePr>
            <xdr:cNvPr id="2" name="Platform">
              <a:extLst>
                <a:ext uri="{FF2B5EF4-FFF2-40B4-BE49-F238E27FC236}">
                  <a16:creationId xmlns:a16="http://schemas.microsoft.com/office/drawing/2014/main" id="{93704346-0706-A782-7B77-A9C3BEE99924}"/>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3111500" y="4438650"/>
              <a:ext cx="1873250" cy="16255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164746</xdr:colOff>
      <xdr:row>1</xdr:row>
      <xdr:rowOff>101953</xdr:rowOff>
    </xdr:from>
    <xdr:to>
      <xdr:col>9</xdr:col>
      <xdr:colOff>1113365</xdr:colOff>
      <xdr:row>16</xdr:row>
      <xdr:rowOff>83609</xdr:rowOff>
    </xdr:to>
    <xdr:graphicFrame macro="">
      <xdr:nvGraphicFramePr>
        <xdr:cNvPr id="3" name="Chart 2">
          <a:extLst>
            <a:ext uri="{FF2B5EF4-FFF2-40B4-BE49-F238E27FC236}">
              <a16:creationId xmlns:a16="http://schemas.microsoft.com/office/drawing/2014/main" id="{8C18C7C1-D0D8-1250-F2CC-63B64994D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508000</xdr:colOff>
      <xdr:row>1</xdr:row>
      <xdr:rowOff>3175</xdr:rowOff>
    </xdr:from>
    <xdr:to>
      <xdr:col>12</xdr:col>
      <xdr:colOff>25400</xdr:colOff>
      <xdr:row>12</xdr:row>
      <xdr:rowOff>165100</xdr:rowOff>
    </xdr:to>
    <xdr:graphicFrame macro="">
      <xdr:nvGraphicFramePr>
        <xdr:cNvPr id="4" name="Chart 3">
          <a:extLst>
            <a:ext uri="{FF2B5EF4-FFF2-40B4-BE49-F238E27FC236}">
              <a16:creationId xmlns:a16="http://schemas.microsoft.com/office/drawing/2014/main" id="{7600078B-39C0-4C05-AF06-C5A66EF69C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508000</xdr:colOff>
      <xdr:row>20</xdr:row>
      <xdr:rowOff>19050</xdr:rowOff>
    </xdr:from>
    <xdr:to>
      <xdr:col>7</xdr:col>
      <xdr:colOff>6350</xdr:colOff>
      <xdr:row>33</xdr:row>
      <xdr:rowOff>6351</xdr:rowOff>
    </xdr:to>
    <xdr:graphicFrame macro="">
      <xdr:nvGraphicFramePr>
        <xdr:cNvPr id="5" name="Chart 4">
          <a:extLst>
            <a:ext uri="{FF2B5EF4-FFF2-40B4-BE49-F238E27FC236}">
              <a16:creationId xmlns:a16="http://schemas.microsoft.com/office/drawing/2014/main" id="{18707B94-8AE0-7B54-9D6C-3876C1D7E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32136</xdr:colOff>
      <xdr:row>5</xdr:row>
      <xdr:rowOff>5966</xdr:rowOff>
    </xdr:from>
    <xdr:to>
      <xdr:col>19</xdr:col>
      <xdr:colOff>314230</xdr:colOff>
      <xdr:row>20</xdr:row>
      <xdr:rowOff>139316</xdr:rowOff>
    </xdr:to>
    <xdr:graphicFrame macro="">
      <xdr:nvGraphicFramePr>
        <xdr:cNvPr id="2" name="Chart 1">
          <a:extLst>
            <a:ext uri="{FF2B5EF4-FFF2-40B4-BE49-F238E27FC236}">
              <a16:creationId xmlns:a16="http://schemas.microsoft.com/office/drawing/2014/main" id="{B1B38BC7-6EE0-A7E5-7CCE-A52A1F6EA2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41757</xdr:colOff>
      <xdr:row>20</xdr:row>
      <xdr:rowOff>168179</xdr:rowOff>
    </xdr:from>
    <xdr:to>
      <xdr:col>19</xdr:col>
      <xdr:colOff>317501</xdr:colOff>
      <xdr:row>26</xdr:row>
      <xdr:rowOff>179532</xdr:rowOff>
    </xdr:to>
    <mc:AlternateContent xmlns:mc="http://schemas.openxmlformats.org/markup-compatibility/2006" xmlns:tsle="http://schemas.microsoft.com/office/drawing/2012/timeslicer">
      <mc:Choice Requires="tsle">
        <xdr:graphicFrame macro="">
          <xdr:nvGraphicFramePr>
            <xdr:cNvPr id="3" name="Week_Start_Date">
              <a:extLst>
                <a:ext uri="{FF2B5EF4-FFF2-40B4-BE49-F238E27FC236}">
                  <a16:creationId xmlns:a16="http://schemas.microsoft.com/office/drawing/2014/main" id="{86065737-269A-AD05-D81F-4386A0CD8F76}"/>
                </a:ext>
              </a:extLst>
            </xdr:cNvPr>
            <xdr:cNvGraphicFramePr/>
          </xdr:nvGraphicFramePr>
          <xdr:xfrm>
            <a:off x="0" y="0"/>
            <a:ext cx="0" cy="0"/>
          </xdr:xfrm>
          <a:graphic>
            <a:graphicData uri="http://schemas.microsoft.com/office/drawing/2012/timeslicer">
              <tsle:timeslicer name="Week_Start_Date"/>
            </a:graphicData>
          </a:graphic>
        </xdr:graphicFrame>
      </mc:Choice>
      <mc:Fallback xmlns="">
        <xdr:sp macro="" textlink="">
          <xdr:nvSpPr>
            <xdr:cNvPr id="0" name=""/>
            <xdr:cNvSpPr>
              <a:spLocks noTextEdit="1"/>
            </xdr:cNvSpPr>
          </xdr:nvSpPr>
          <xdr:spPr>
            <a:xfrm>
              <a:off x="5513340" y="3766512"/>
              <a:ext cx="8255578" cy="1090853"/>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3</xdr:col>
      <xdr:colOff>6350</xdr:colOff>
      <xdr:row>57</xdr:row>
      <xdr:rowOff>12700</xdr:rowOff>
    </xdr:from>
    <xdr:to>
      <xdr:col>10</xdr:col>
      <xdr:colOff>596900</xdr:colOff>
      <xdr:row>68</xdr:row>
      <xdr:rowOff>0</xdr:rowOff>
    </xdr:to>
    <xdr:graphicFrame macro="">
      <xdr:nvGraphicFramePr>
        <xdr:cNvPr id="4" name="Chart 3">
          <a:extLst>
            <a:ext uri="{FF2B5EF4-FFF2-40B4-BE49-F238E27FC236}">
              <a16:creationId xmlns:a16="http://schemas.microsoft.com/office/drawing/2014/main" id="{66DF0472-D611-4A27-70D4-8CFAEC314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557</xdr:colOff>
      <xdr:row>63</xdr:row>
      <xdr:rowOff>1</xdr:rowOff>
    </xdr:from>
    <xdr:to>
      <xdr:col>11</xdr:col>
      <xdr:colOff>456753</xdr:colOff>
      <xdr:row>82</xdr:row>
      <xdr:rowOff>186492</xdr:rowOff>
    </xdr:to>
    <xdr:graphicFrame macro="">
      <xdr:nvGraphicFramePr>
        <xdr:cNvPr id="3" name="Chart 2">
          <a:extLst>
            <a:ext uri="{FF2B5EF4-FFF2-40B4-BE49-F238E27FC236}">
              <a16:creationId xmlns:a16="http://schemas.microsoft.com/office/drawing/2014/main" id="{CFEF5DF1-EAAB-4A55-9BA2-4AC5DD2E2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664558</xdr:colOff>
      <xdr:row>0</xdr:row>
      <xdr:rowOff>89123</xdr:rowOff>
    </xdr:from>
    <xdr:to>
      <xdr:col>15</xdr:col>
      <xdr:colOff>590438</xdr:colOff>
      <xdr:row>19</xdr:row>
      <xdr:rowOff>21897</xdr:rowOff>
    </xdr:to>
    <xdr:graphicFrame macro="">
      <xdr:nvGraphicFramePr>
        <xdr:cNvPr id="5" name="Chart 4">
          <a:extLst>
            <a:ext uri="{FF2B5EF4-FFF2-40B4-BE49-F238E27FC236}">
              <a16:creationId xmlns:a16="http://schemas.microsoft.com/office/drawing/2014/main" id="{B3772467-0A8A-3F20-64AB-1A1165BFAA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671764</xdr:colOff>
      <xdr:row>21</xdr:row>
      <xdr:rowOff>181699</xdr:rowOff>
    </xdr:from>
    <xdr:to>
      <xdr:col>15</xdr:col>
      <xdr:colOff>579298</xdr:colOff>
      <xdr:row>41</xdr:row>
      <xdr:rowOff>11140</xdr:rowOff>
    </xdr:to>
    <xdr:graphicFrame macro="">
      <xdr:nvGraphicFramePr>
        <xdr:cNvPr id="6" name="Chart 5">
          <a:extLst>
            <a:ext uri="{FF2B5EF4-FFF2-40B4-BE49-F238E27FC236}">
              <a16:creationId xmlns:a16="http://schemas.microsoft.com/office/drawing/2014/main" id="{EA9F7B5C-5D0F-A274-116D-582CB838DA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6350</xdr:colOff>
      <xdr:row>0</xdr:row>
      <xdr:rowOff>6350</xdr:rowOff>
    </xdr:from>
    <xdr:to>
      <xdr:col>15</xdr:col>
      <xdr:colOff>12700</xdr:colOff>
      <xdr:row>2</xdr:row>
      <xdr:rowOff>165100</xdr:rowOff>
    </xdr:to>
    <xdr:sp macro="" textlink="">
      <xdr:nvSpPr>
        <xdr:cNvPr id="2" name="Rectangle: Rounded Corners 1">
          <a:extLst>
            <a:ext uri="{FF2B5EF4-FFF2-40B4-BE49-F238E27FC236}">
              <a16:creationId xmlns:a16="http://schemas.microsoft.com/office/drawing/2014/main" id="{D0B58E2B-340E-41EC-0DF7-0CB429D47286}"/>
            </a:ext>
          </a:extLst>
        </xdr:cNvPr>
        <xdr:cNvSpPr/>
      </xdr:nvSpPr>
      <xdr:spPr>
        <a:xfrm>
          <a:off x="6350" y="6350"/>
          <a:ext cx="9150350" cy="52705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a:latin typeface="Aptos Narrow" panose="020B0004020202020204" pitchFamily="34" charset="0"/>
            </a:rPr>
            <a:t>Social</a:t>
          </a:r>
          <a:r>
            <a:rPr lang="en-GB" sz="2000" baseline="0">
              <a:latin typeface="Aptos Narrow" panose="020B0004020202020204" pitchFamily="34" charset="0"/>
            </a:rPr>
            <a:t> Media Analytics Dashboard</a:t>
          </a:r>
          <a:endParaRPr lang="en-GB" sz="2000">
            <a:latin typeface="Aptos Narrow" panose="020B0004020202020204" pitchFamily="34" charset="0"/>
          </a:endParaRPr>
        </a:p>
      </xdr:txBody>
    </xdr:sp>
    <xdr:clientData/>
  </xdr:twoCellAnchor>
  <xdr:twoCellAnchor>
    <xdr:from>
      <xdr:col>0</xdr:col>
      <xdr:colOff>0</xdr:colOff>
      <xdr:row>3</xdr:row>
      <xdr:rowOff>39688</xdr:rowOff>
    </xdr:from>
    <xdr:to>
      <xdr:col>6</xdr:col>
      <xdr:colOff>580572</xdr:colOff>
      <xdr:row>14</xdr:row>
      <xdr:rowOff>1</xdr:rowOff>
    </xdr:to>
    <xdr:graphicFrame macro="">
      <xdr:nvGraphicFramePr>
        <xdr:cNvPr id="3" name="Chart 2">
          <a:extLst>
            <a:ext uri="{FF2B5EF4-FFF2-40B4-BE49-F238E27FC236}">
              <a16:creationId xmlns:a16="http://schemas.microsoft.com/office/drawing/2014/main" id="{43E02E2B-B5DC-4773-B9BF-0CD7E4622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127000</xdr:rowOff>
    </xdr:from>
    <xdr:to>
      <xdr:col>6</xdr:col>
      <xdr:colOff>598714</xdr:colOff>
      <xdr:row>27</xdr:row>
      <xdr:rowOff>47624</xdr:rowOff>
    </xdr:to>
    <xdr:graphicFrame macro="">
      <xdr:nvGraphicFramePr>
        <xdr:cNvPr id="10" name="Chart 9">
          <a:extLst>
            <a:ext uri="{FF2B5EF4-FFF2-40B4-BE49-F238E27FC236}">
              <a16:creationId xmlns:a16="http://schemas.microsoft.com/office/drawing/2014/main" id="{98C1D611-CD42-4B35-88C3-0421FBC2D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103188</xdr:colOff>
      <xdr:row>14</xdr:row>
      <xdr:rowOff>127001</xdr:rowOff>
    </xdr:from>
    <xdr:to>
      <xdr:col>15</xdr:col>
      <xdr:colOff>0</xdr:colOff>
      <xdr:row>27</xdr:row>
      <xdr:rowOff>71438</xdr:rowOff>
    </xdr:to>
    <xdr:graphicFrame macro="">
      <xdr:nvGraphicFramePr>
        <xdr:cNvPr id="11" name="Chart 10">
          <a:extLst>
            <a:ext uri="{FF2B5EF4-FFF2-40B4-BE49-F238E27FC236}">
              <a16:creationId xmlns:a16="http://schemas.microsoft.com/office/drawing/2014/main" id="{F8670A2C-49A6-4D53-BC5A-1B6F6C970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87313</xdr:colOff>
      <xdr:row>3</xdr:row>
      <xdr:rowOff>55562</xdr:rowOff>
    </xdr:from>
    <xdr:to>
      <xdr:col>15</xdr:col>
      <xdr:colOff>1</xdr:colOff>
      <xdr:row>13</xdr:row>
      <xdr:rowOff>166686</xdr:rowOff>
    </xdr:to>
    <xdr:graphicFrame macro="">
      <xdr:nvGraphicFramePr>
        <xdr:cNvPr id="12" name="Chart 11">
          <a:extLst>
            <a:ext uri="{FF2B5EF4-FFF2-40B4-BE49-F238E27FC236}">
              <a16:creationId xmlns:a16="http://schemas.microsoft.com/office/drawing/2014/main" id="{B7C9B1D1-B4BD-46D9-8130-60A07C4B62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103188</xdr:colOff>
      <xdr:row>28</xdr:row>
      <xdr:rowOff>7937</xdr:rowOff>
    </xdr:from>
    <xdr:to>
      <xdr:col>15</xdr:col>
      <xdr:colOff>31750</xdr:colOff>
      <xdr:row>44</xdr:row>
      <xdr:rowOff>7586</xdr:rowOff>
    </xdr:to>
    <xdr:graphicFrame macro="">
      <xdr:nvGraphicFramePr>
        <xdr:cNvPr id="13" name="Chart 12">
          <a:extLst>
            <a:ext uri="{FF2B5EF4-FFF2-40B4-BE49-F238E27FC236}">
              <a16:creationId xmlns:a16="http://schemas.microsoft.com/office/drawing/2014/main" id="{3843D14C-ED79-45D6-BAB1-FAA3E7807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27</xdr:row>
      <xdr:rowOff>169333</xdr:rowOff>
    </xdr:from>
    <xdr:to>
      <xdr:col>6</xdr:col>
      <xdr:colOff>603249</xdr:colOff>
      <xdr:row>43</xdr:row>
      <xdr:rowOff>169333</xdr:rowOff>
    </xdr:to>
    <xdr:graphicFrame macro="">
      <xdr:nvGraphicFramePr>
        <xdr:cNvPr id="15" name="Chart 14">
          <a:extLst>
            <a:ext uri="{FF2B5EF4-FFF2-40B4-BE49-F238E27FC236}">
              <a16:creationId xmlns:a16="http://schemas.microsoft.com/office/drawing/2014/main" id="{3F343CEF-E56C-4631-A434-A4E6BB374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 refreshedDate="46102.734468981478" createdVersion="8" refreshedVersion="8" minRefreshableVersion="3" recordCount="4" xr:uid="{200E03D3-DE2E-42E8-89FE-DF4AA38DCA13}">
  <cacheSource type="worksheet">
    <worksheetSource name="Table6"/>
  </cacheSource>
  <cacheFields count="13">
    <cacheField name="Campaign_Name" numFmtId="0">
      <sharedItems count="4">
        <s v="CybertruckLaunch"/>
        <s v="ModelYCampaign"/>
        <s v="FSDUpdate"/>
        <s v="SustainabilityDrive"/>
      </sharedItems>
    </cacheField>
    <cacheField name="Start_Date" numFmtId="14">
      <sharedItems containsSemiMixedTypes="0" containsNonDate="0" containsDate="1" containsString="0" minDate="2024-06-15T00:00:00" maxDate="2025-03-02T00:00:00"/>
    </cacheField>
    <cacheField name="End_Date" numFmtId="14">
      <sharedItems containsSemiMixedTypes="0" containsNonDate="0" containsDate="1" containsString="0" minDate="2024-07-15T00:00:00" maxDate="2025-04-01T00:00:00"/>
    </cacheField>
    <cacheField name="Objective" numFmtId="0">
      <sharedItems/>
    </cacheField>
    <cacheField name="Total_Budget" numFmtId="0">
      <sharedItems containsSemiMixedTypes="0" containsString="0" containsNumber="1" containsInteger="1" minValue="150000" maxValue="250000"/>
    </cacheField>
    <cacheField name="Target_Platforms" numFmtId="0">
      <sharedItems/>
    </cacheField>
    <cacheField name="Primary_Hashtags" numFmtId="0">
      <sharedItems/>
    </cacheField>
    <cacheField name="Engagement Rate" numFmtId="2">
      <sharedItems containsSemiMixedTypes="0" containsString="0" containsNumber="1" minValue="10.340277163772086" maxValue="15.012452603301554"/>
    </cacheField>
    <cacheField name="Engagement Rate (Before - 30 Days)" numFmtId="2">
      <sharedItems containsSemiMixedTypes="0" containsString="0" containsNumber="1" minValue="12.96707939392587" maxValue="22.90199820628969"/>
    </cacheField>
    <cacheField name="Engagement Uplift" numFmtId="10">
      <sharedItems containsSemiMixedTypes="0" containsString="0" containsNumber="1" minValue="-0.54849890954352254" maxValue="3.6777536071843982E-2"/>
    </cacheField>
    <cacheField name="Engagements" numFmtId="1">
      <sharedItems containsSemiMixedTypes="0" containsString="0" containsNumber="1" containsInteger="1" minValue="33044" maxValue="137691"/>
    </cacheField>
    <cacheField name="Cost Per Engagement (CPE)" numFmtId="164">
      <sharedItems containsSemiMixedTypes="0" containsString="0" containsNumber="1" minValue="1.4454626926079037" maxValue="7.5656700157365933"/>
    </cacheField>
    <cacheField name="Follower Growth" numFmtId="0">
      <sharedItems containsSemiMixedTypes="0" containsString="0" containsNumber="1" containsInteger="1" minValue="6530" maxValue="1178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 refreshedDate="46102.734469560186" createdVersion="8" refreshedVersion="8" minRefreshableVersion="3" recordCount="200" xr:uid="{DF701627-738F-45C3-A9D1-3DC49D905D6D}">
  <cacheSource type="worksheet">
    <worksheetSource name="Engagement_Summary"/>
  </cacheSource>
  <cacheFields count="12">
    <cacheField name="Week_Start_Date" numFmtId="1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fieldGroup par="11"/>
    </cacheField>
    <cacheField name="Platform" numFmtId="0">
      <sharedItems count="4">
        <s v="Instagram"/>
        <s v="Facebook"/>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0">
      <sharedItems containsSemiMixedTypes="0" containsString="0" containsNumber="1" containsInteger="1" minValue="1083" maxValue="49772"/>
    </cacheField>
    <cacheField name="Follower Growth" numFmtId="0">
      <sharedItems containsSemiMixedTypes="0" containsString="0" containsNumber="1" containsInteger="1" minValue="-337" maxValue="1881"/>
    </cacheField>
    <cacheField name="Growth Rate" numFmtId="10">
      <sharedItems containsSemiMixedTypes="0" containsString="0" containsNumber="1" minValue="-4.0653839194161288E-3" maxValue="0.12139196115457243"/>
    </cacheField>
    <cacheField name="Months (Week_Start_Date)" numFmtId="0" databaseField="0">
      <fieldGroup base="0">
        <rangePr groupBy="months" startDate="2024-06-03T00:00:00" endDate="2025-05-13T00:00:00"/>
        <groupItems count="14">
          <s v="&lt;6/3/2024"/>
          <s v="Jan"/>
          <s v="Feb"/>
          <s v="Mar"/>
          <s v="Apr"/>
          <s v="May"/>
          <s v="Jun"/>
          <s v="Jul"/>
          <s v="Aug"/>
          <s v="Sep"/>
          <s v="Oct"/>
          <s v="Nov"/>
          <s v="Dec"/>
          <s v="&gt;5/13/2025"/>
        </groupItems>
      </fieldGroup>
    </cacheField>
    <cacheField name="Quarters (Week_Start_Date)" numFmtId="0" databaseField="0">
      <fieldGroup base="0">
        <rangePr groupBy="quarters" startDate="2024-06-03T00:00:00" endDate="2025-05-13T00:00:00"/>
        <groupItems count="6">
          <s v="&lt;6/3/2024"/>
          <s v="Qtr1"/>
          <s v="Qtr2"/>
          <s v="Qtr3"/>
          <s v="Qtr4"/>
          <s v="&gt;5/13/2025"/>
        </groupItems>
      </fieldGroup>
    </cacheField>
    <cacheField name="Years (Week_Start_Date)" numFmtId="0" databaseField="0">
      <fieldGroup base="0">
        <rangePr groupBy="years" startDate="2024-06-03T00:00:00" endDate="2025-05-13T00:00:00"/>
        <groupItems count="4">
          <s v="&lt;6/3/2024"/>
          <s v="2024"/>
          <s v="2025"/>
          <s v="&gt;5/13/2025"/>
        </groupItems>
      </fieldGroup>
    </cacheField>
  </cacheFields>
  <extLst>
    <ext xmlns:x14="http://schemas.microsoft.com/office/spreadsheetml/2009/9/main" uri="{725AE2AE-9491-48be-B2B4-4EB974FC3084}">
      <x14:pivotCacheDefinition pivotCacheId="176435584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 refreshedDate="46102.734470254632" createdVersion="8" refreshedVersion="8" minRefreshableVersion="3" recordCount="339" xr:uid="{CEED9C52-E871-4175-BA58-853E566C27EB}">
  <cacheSource type="worksheet">
    <worksheetSource ref="A1:M340" sheet="Posts"/>
  </cacheSource>
  <cacheFields count="13">
    <cacheField name="Post ID" numFmtId="0">
      <sharedItems containsBlank="1" count="301">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 v="P041"/>
        <s v="P042"/>
        <s v="P043"/>
        <s v="P044"/>
        <s v="P045"/>
        <s v="P046"/>
        <s v="P047"/>
        <s v="P048"/>
        <s v="P049"/>
        <s v="P050"/>
        <s v="P051"/>
        <s v="P052"/>
        <s v="P053"/>
        <s v="P054"/>
        <s v="P055"/>
        <s v="P056"/>
        <s v="P057"/>
        <s v="P058"/>
        <s v="P059"/>
        <s v="P060"/>
        <s v="P061"/>
        <s v="P062"/>
        <s v="P063"/>
        <s v="P064"/>
        <s v="P065"/>
        <s v="P066"/>
        <s v="P067"/>
        <s v="P068"/>
        <s v="P069"/>
        <s v="P070"/>
        <s v="P071"/>
        <s v="P072"/>
        <s v="P073"/>
        <s v="P074"/>
        <s v="P075"/>
        <s v="P076"/>
        <s v="P077"/>
        <s v="P078"/>
        <s v="P079"/>
        <s v="P080"/>
        <s v="P081"/>
        <s v="P082"/>
        <s v="P083"/>
        <s v="P084"/>
        <s v="P085"/>
        <s v="P086"/>
        <s v="P087"/>
        <s v="P088"/>
        <s v="P089"/>
        <s v="P090"/>
        <s v="P091"/>
        <s v="P092"/>
        <s v="P093"/>
        <s v="P094"/>
        <s v="P095"/>
        <s v="P096"/>
        <s v="P097"/>
        <s v="P098"/>
        <s v="P099"/>
        <s v="P100"/>
        <s v="P101"/>
        <s v="P102"/>
        <s v="P103"/>
        <s v="P104"/>
        <s v="P105"/>
        <s v="P106"/>
        <s v="P107"/>
        <s v="P108"/>
        <s v="P109"/>
        <s v="P110"/>
        <s v="P111"/>
        <s v="P112"/>
        <s v="P113"/>
        <s v="P114"/>
        <s v="P115"/>
        <s v="P116"/>
        <s v="P117"/>
        <s v="P118"/>
        <s v="P119"/>
        <s v="P120"/>
        <s v="P121"/>
        <s v="P122"/>
        <s v="P123"/>
        <s v="P124"/>
        <s v="P125"/>
        <s v="P126"/>
        <s v="P127"/>
        <s v="P128"/>
        <s v="P129"/>
        <s v="P130"/>
        <s v="P131"/>
        <s v="P132"/>
        <s v="P133"/>
        <s v="P134"/>
        <s v="P135"/>
        <s v="P136"/>
        <s v="P137"/>
        <s v="P138"/>
        <s v="P139"/>
        <s v="P140"/>
        <s v="P141"/>
        <s v="P142"/>
        <s v="P143"/>
        <s v="P144"/>
        <s v="P145"/>
        <s v="P146"/>
        <s v="P147"/>
        <s v="P148"/>
        <s v="P149"/>
        <s v="P150"/>
        <s v="P151"/>
        <s v="P152"/>
        <s v="P153"/>
        <s v="P154"/>
        <s v="P155"/>
        <s v="P156"/>
        <s v="P157"/>
        <s v="P158"/>
        <s v="P159"/>
        <s v="P160"/>
        <s v="P161"/>
        <s v="P162"/>
        <s v="P163"/>
        <s v="P164"/>
        <s v="P165"/>
        <s v="P166"/>
        <s v="P167"/>
        <s v="P168"/>
        <s v="P169"/>
        <s v="P170"/>
        <s v="P171"/>
        <s v="P172"/>
        <s v="P173"/>
        <s v="P174"/>
        <s v="P175"/>
        <s v="P176"/>
        <s v="P177"/>
        <s v="P178"/>
        <s v="P179"/>
        <s v="P180"/>
        <s v="P181"/>
        <s v="P182"/>
        <s v="P183"/>
        <s v="P184"/>
        <s v="P185"/>
        <s v="P186"/>
        <s v="P187"/>
        <s v="P188"/>
        <s v="P189"/>
        <s v="P190"/>
        <s v="P191"/>
        <s v="P192"/>
        <s v="P193"/>
        <s v="P194"/>
        <s v="P195"/>
        <s v="P196"/>
        <s v="P197"/>
        <s v="P198"/>
        <s v="P199"/>
        <s v="P200"/>
        <s v="P201"/>
        <s v="P202"/>
        <s v="P203"/>
        <s v="P204"/>
        <s v="P205"/>
        <s v="P206"/>
        <s v="P207"/>
        <s v="P208"/>
        <s v="P209"/>
        <s v="P210"/>
        <s v="P211"/>
        <s v="P212"/>
        <s v="P213"/>
        <s v="P214"/>
        <s v="P215"/>
        <s v="P216"/>
        <s v="P217"/>
        <s v="P218"/>
        <s v="P219"/>
        <s v="P220"/>
        <s v="P221"/>
        <s v="P222"/>
        <s v="P223"/>
        <s v="P224"/>
        <s v="P225"/>
        <s v="P226"/>
        <s v="P227"/>
        <s v="P228"/>
        <s v="P229"/>
        <s v="P230"/>
        <s v="P231"/>
        <s v="P232"/>
        <s v="P233"/>
        <s v="P234"/>
        <s v="P235"/>
        <s v="P236"/>
        <s v="P237"/>
        <s v="P238"/>
        <s v="P239"/>
        <s v="P240"/>
        <s v="P241"/>
        <s v="P242"/>
        <s v="P243"/>
        <s v="P244"/>
        <s v="P245"/>
        <s v="P246"/>
        <s v="P247"/>
        <s v="P248"/>
        <s v="P249"/>
        <s v="P250"/>
        <s v="P251"/>
        <s v="P252"/>
        <s v="P253"/>
        <s v="P254"/>
        <s v="P255"/>
        <s v="P256"/>
        <s v="P257"/>
        <s v="P258"/>
        <s v="P259"/>
        <s v="P260"/>
        <s v="P261"/>
        <s v="P262"/>
        <s v="P263"/>
        <s v="P264"/>
        <s v="P265"/>
        <s v="P266"/>
        <s v="P267"/>
        <s v="P268"/>
        <s v="P269"/>
        <s v="P270"/>
        <s v="P271"/>
        <s v="P272"/>
        <s v="P273"/>
        <s v="P274"/>
        <s v="P275"/>
        <s v="P276"/>
        <s v="P277"/>
        <s v="P278"/>
        <s v="P279"/>
        <s v="P280"/>
        <s v="P281"/>
        <s v="P282"/>
        <s v="P283"/>
        <s v="P284"/>
        <s v="P285"/>
        <s v="P286"/>
        <s v="P287"/>
        <s v="P288"/>
        <s v="P289"/>
        <s v="P290"/>
        <s v="P291"/>
        <s v="P292"/>
        <s v="P293"/>
        <s v="P294"/>
        <s v="P295"/>
        <s v="P296"/>
        <s v="P297"/>
        <s v="P298"/>
        <s v="P299"/>
        <s v="P300"/>
        <m u="1"/>
      </sharedItems>
    </cacheField>
    <cacheField name="Platform" numFmtId="0">
      <sharedItems/>
    </cacheField>
    <cacheField name="Date" numFmtId="14">
      <sharedItems containsSemiMixedTypes="0" containsNonDate="0" containsDate="1" containsString="0" minDate="2024-06-01T00:00:00" maxDate="2025-05-15T00:00:00"/>
    </cacheField>
    <cacheField name="Content Type"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ontainsBlank="1" count="7">
        <s v="#FutureOfDriving"/>
        <s v="#AnytimeIsTeslaTime"/>
        <s v="#TeslaCoInnovation"/>
        <s v="#BetterWithTesla"/>
        <s v="#EVRevolution"/>
        <s v="#SmoothLikeNitroTesla"/>
        <m u="1"/>
      </sharedItems>
    </cacheField>
    <cacheField name="Campaign_Name" numFmtId="0">
      <sharedItems/>
    </cacheField>
    <cacheField name="Engagement Rate" numFmtId="10">
      <sharedItems containsSemiMixedTypes="0" containsString="0" containsNumber="1" minValue="5.2551586421122697E-2" maxValue="1.8129251700680271"/>
    </cacheField>
  </cacheFields>
  <extLst>
    <ext xmlns:x14="http://schemas.microsoft.com/office/spreadsheetml/2009/9/main" uri="{725AE2AE-9491-48be-B2B4-4EB974FC3084}">
      <x14:pivotCacheDefinition pivotCacheId="185708515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 refreshedDate="46102.734470717594" createdVersion="8" refreshedVersion="8" minRefreshableVersion="3" recordCount="300" xr:uid="{34D51C0F-AB28-400E-8539-F87BDC56532A}">
  <cacheSource type="worksheet">
    <worksheetSource name="Posts_1"/>
  </cacheSource>
  <cacheFields count="17">
    <cacheField name="Post ID" numFmtId="0">
      <sharedItems count="300">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 v="P041"/>
        <s v="P042"/>
        <s v="P043"/>
        <s v="P044"/>
        <s v="P045"/>
        <s v="P046"/>
        <s v="P047"/>
        <s v="P048"/>
        <s v="P049"/>
        <s v="P050"/>
        <s v="P051"/>
        <s v="P052"/>
        <s v="P053"/>
        <s v="P054"/>
        <s v="P055"/>
        <s v="P056"/>
        <s v="P057"/>
        <s v="P058"/>
        <s v="P059"/>
        <s v="P060"/>
        <s v="P061"/>
        <s v="P062"/>
        <s v="P063"/>
        <s v="P064"/>
        <s v="P065"/>
        <s v="P066"/>
        <s v="P067"/>
        <s v="P068"/>
        <s v="P069"/>
        <s v="P070"/>
        <s v="P071"/>
        <s v="P072"/>
        <s v="P073"/>
        <s v="P074"/>
        <s v="P075"/>
        <s v="P076"/>
        <s v="P077"/>
        <s v="P078"/>
        <s v="P079"/>
        <s v="P080"/>
        <s v="P081"/>
        <s v="P082"/>
        <s v="P083"/>
        <s v="P084"/>
        <s v="P085"/>
        <s v="P086"/>
        <s v="P087"/>
        <s v="P088"/>
        <s v="P089"/>
        <s v="P090"/>
        <s v="P091"/>
        <s v="P092"/>
        <s v="P093"/>
        <s v="P094"/>
        <s v="P095"/>
        <s v="P096"/>
        <s v="P097"/>
        <s v="P098"/>
        <s v="P099"/>
        <s v="P100"/>
        <s v="P101"/>
        <s v="P102"/>
        <s v="P103"/>
        <s v="P104"/>
        <s v="P105"/>
        <s v="P106"/>
        <s v="P107"/>
        <s v="P108"/>
        <s v="P109"/>
        <s v="P110"/>
        <s v="P111"/>
        <s v="P112"/>
        <s v="P113"/>
        <s v="P114"/>
        <s v="P115"/>
        <s v="P116"/>
        <s v="P117"/>
        <s v="P118"/>
        <s v="P119"/>
        <s v="P120"/>
        <s v="P121"/>
        <s v="P122"/>
        <s v="P123"/>
        <s v="P124"/>
        <s v="P125"/>
        <s v="P126"/>
        <s v="P127"/>
        <s v="P128"/>
        <s v="P129"/>
        <s v="P130"/>
        <s v="P131"/>
        <s v="P132"/>
        <s v="P133"/>
        <s v="P134"/>
        <s v="P135"/>
        <s v="P136"/>
        <s v="P137"/>
        <s v="P138"/>
        <s v="P139"/>
        <s v="P140"/>
        <s v="P141"/>
        <s v="P142"/>
        <s v="P143"/>
        <s v="P144"/>
        <s v="P145"/>
        <s v="P146"/>
        <s v="P147"/>
        <s v="P148"/>
        <s v="P149"/>
        <s v="P150"/>
        <s v="P151"/>
        <s v="P152"/>
        <s v="P153"/>
        <s v="P154"/>
        <s v="P155"/>
        <s v="P156"/>
        <s v="P157"/>
        <s v="P158"/>
        <s v="P159"/>
        <s v="P160"/>
        <s v="P161"/>
        <s v="P162"/>
        <s v="P163"/>
        <s v="P164"/>
        <s v="P165"/>
        <s v="P166"/>
        <s v="P167"/>
        <s v="P168"/>
        <s v="P169"/>
        <s v="P170"/>
        <s v="P171"/>
        <s v="P172"/>
        <s v="P173"/>
        <s v="P174"/>
        <s v="P175"/>
        <s v="P176"/>
        <s v="P177"/>
        <s v="P178"/>
        <s v="P179"/>
        <s v="P180"/>
        <s v="P181"/>
        <s v="P182"/>
        <s v="P183"/>
        <s v="P184"/>
        <s v="P185"/>
        <s v="P186"/>
        <s v="P187"/>
        <s v="P188"/>
        <s v="P189"/>
        <s v="P190"/>
        <s v="P191"/>
        <s v="P192"/>
        <s v="P193"/>
        <s v="P194"/>
        <s v="P195"/>
        <s v="P196"/>
        <s v="P197"/>
        <s v="P198"/>
        <s v="P199"/>
        <s v="P200"/>
        <s v="P201"/>
        <s v="P202"/>
        <s v="P203"/>
        <s v="P204"/>
        <s v="P205"/>
        <s v="P206"/>
        <s v="P207"/>
        <s v="P208"/>
        <s v="P209"/>
        <s v="P210"/>
        <s v="P211"/>
        <s v="P212"/>
        <s v="P213"/>
        <s v="P214"/>
        <s v="P215"/>
        <s v="P216"/>
        <s v="P217"/>
        <s v="P218"/>
        <s v="P219"/>
        <s v="P220"/>
        <s v="P221"/>
        <s v="P222"/>
        <s v="P223"/>
        <s v="P224"/>
        <s v="P225"/>
        <s v="P226"/>
        <s v="P227"/>
        <s v="P228"/>
        <s v="P229"/>
        <s v="P230"/>
        <s v="P231"/>
        <s v="P232"/>
        <s v="P233"/>
        <s v="P234"/>
        <s v="P235"/>
        <s v="P236"/>
        <s v="P237"/>
        <s v="P238"/>
        <s v="P239"/>
        <s v="P240"/>
        <s v="P241"/>
        <s v="P242"/>
        <s v="P243"/>
        <s v="P244"/>
        <s v="P245"/>
        <s v="P246"/>
        <s v="P247"/>
        <s v="P248"/>
        <s v="P249"/>
        <s v="P250"/>
        <s v="P251"/>
        <s v="P252"/>
        <s v="P253"/>
        <s v="P254"/>
        <s v="P255"/>
        <s v="P256"/>
        <s v="P257"/>
        <s v="P258"/>
        <s v="P259"/>
        <s v="P260"/>
        <s v="P261"/>
        <s v="P262"/>
        <s v="P263"/>
        <s v="P264"/>
        <s v="P265"/>
        <s v="P266"/>
        <s v="P267"/>
        <s v="P268"/>
        <s v="P269"/>
        <s v="P270"/>
        <s v="P271"/>
        <s v="P272"/>
        <s v="P273"/>
        <s v="P274"/>
        <s v="P275"/>
        <s v="P276"/>
        <s v="P277"/>
        <s v="P278"/>
        <s v="P279"/>
        <s v="P280"/>
        <s v="P281"/>
        <s v="P282"/>
        <s v="P283"/>
        <s v="P284"/>
        <s v="P285"/>
        <s v="P286"/>
        <s v="P287"/>
        <s v="P288"/>
        <s v="P289"/>
        <s v="P290"/>
        <s v="P291"/>
        <s v="P292"/>
        <s v="P293"/>
        <s v="P294"/>
        <s v="P295"/>
        <s v="P296"/>
        <s v="P297"/>
        <s v="P298"/>
        <s v="P299"/>
        <s v="P300"/>
      </sharedItems>
    </cacheField>
    <cacheField name="Platform" numFmtId="0">
      <sharedItems count="4">
        <s v="Twitter"/>
        <s v="YouTube"/>
        <s v="Instagram"/>
        <s v="Facebook"/>
      </sharedItems>
    </cacheField>
    <cacheField name="Date" numFmtId="14">
      <sharedItems containsSemiMixedTypes="0" containsNonDate="0" containsDate="1" containsString="0" minDate="2024-06-01T00:00:00" maxDate="2025-05-15T00:00:00" count="198">
        <d v="2024-12-23T00:00:00"/>
        <d v="2025-04-03T00:00:00"/>
        <d v="2025-05-12T00:00:00"/>
        <d v="2024-08-12T00:00:00"/>
        <d v="2024-06-26T00:00:00"/>
        <d v="2024-10-31T00:00:00"/>
        <d v="2024-06-24T00:00:00"/>
        <d v="2024-07-13T00:00:00"/>
        <d v="2024-08-30T00:00:00"/>
        <d v="2025-03-11T00:00:00"/>
        <d v="2025-02-02T00:00:00"/>
        <d v="2024-07-21T00:00:00"/>
        <d v="2024-11-18T00:00:00"/>
        <d v="2025-02-16T00:00:00"/>
        <d v="2024-10-24T00:00:00"/>
        <d v="2024-08-26T00:00:00"/>
        <d v="2025-05-05T00:00:00"/>
        <d v="2024-08-19T00:00:00"/>
        <d v="2024-06-23T00:00:00"/>
        <d v="2024-09-09T00:00:00"/>
        <d v="2025-01-04T00:00:00"/>
        <d v="2025-02-27T00:00:00"/>
        <d v="2024-11-06T00:00:00"/>
        <d v="2025-01-23T00:00:00"/>
        <d v="2025-04-10T00:00:00"/>
        <d v="2025-04-05T00:00:00"/>
        <d v="2024-09-17T00:00:00"/>
        <d v="2025-03-04T00:00:00"/>
        <d v="2025-01-31T00:00:00"/>
        <d v="2025-02-25T00:00:00"/>
        <d v="2024-12-16T00:00:00"/>
        <d v="2024-07-31T00:00:00"/>
        <d v="2024-08-21T00:00:00"/>
        <d v="2025-03-26T00:00:00"/>
        <d v="2024-11-30T00:00:00"/>
        <d v="2025-04-19T00:00:00"/>
        <d v="2025-01-06T00:00:00"/>
        <d v="2025-02-17T00:00:00"/>
        <d v="2024-11-25T00:00:00"/>
        <d v="2025-03-07T00:00:00"/>
        <d v="2025-03-08T00:00:00"/>
        <d v="2025-03-05T00:00:00"/>
        <d v="2024-12-14T00:00:00"/>
        <d v="2025-03-02T00:00:00"/>
        <d v="2024-11-01T00:00:00"/>
        <d v="2025-05-02T00:00:00"/>
        <d v="2025-02-24T00:00:00"/>
        <d v="2024-06-10T00:00:00"/>
        <d v="2024-07-03T00:00:00"/>
        <d v="2024-06-13T00:00:00"/>
        <d v="2025-01-03T00:00:00"/>
        <d v="2025-03-13T00:00:00"/>
        <d v="2024-06-17T00:00:00"/>
        <d v="2024-12-18T00:00:00"/>
        <d v="2024-10-21T00:00:00"/>
        <d v="2025-04-15T00:00:00"/>
        <d v="2024-06-22T00:00:00"/>
        <d v="2025-01-28T00:00:00"/>
        <d v="2024-09-05T00:00:00"/>
        <d v="2024-11-22T00:00:00"/>
        <d v="2024-08-17T00:00:00"/>
        <d v="2025-03-28T00:00:00"/>
        <d v="2024-07-26T00:00:00"/>
        <d v="2025-03-29T00:00:00"/>
        <d v="2024-12-08T00:00:00"/>
        <d v="2025-04-02T00:00:00"/>
        <d v="2024-09-02T00:00:00"/>
        <d v="2025-03-03T00:00:00"/>
        <d v="2024-10-18T00:00:00"/>
        <d v="2024-10-28T00:00:00"/>
        <d v="2024-08-01T00:00:00"/>
        <d v="2024-11-07T00:00:00"/>
        <d v="2024-10-09T00:00:00"/>
        <d v="2024-10-19T00:00:00"/>
        <d v="2024-07-24T00:00:00"/>
        <d v="2024-10-15T00:00:00"/>
        <d v="2024-12-09T00:00:00"/>
        <d v="2025-01-27T00:00:00"/>
        <d v="2024-06-06T00:00:00"/>
        <d v="2024-07-07T00:00:00"/>
        <d v="2025-01-10T00:00:00"/>
        <d v="2024-06-03T00:00:00"/>
        <d v="2025-03-24T00:00:00"/>
        <d v="2024-12-11T00:00:00"/>
        <d v="2024-11-08T00:00:00"/>
        <d v="2024-09-10T00:00:00"/>
        <d v="2024-08-13T00:00:00"/>
        <d v="2024-07-02T00:00:00"/>
        <d v="2025-02-10T00:00:00"/>
        <d v="2024-09-18T00:00:00"/>
        <d v="2024-06-11T00:00:00"/>
        <d v="2025-03-23T00:00:00"/>
        <d v="2024-06-14T00:00:00"/>
        <d v="2025-02-04T00:00:00"/>
        <d v="2024-06-21T00:00:00"/>
        <d v="2025-03-25T00:00:00"/>
        <d v="2024-08-08T00:00:00"/>
        <d v="2024-07-29T00:00:00"/>
        <d v="2024-11-23T00:00:00"/>
        <d v="2024-10-05T00:00:00"/>
        <d v="2024-10-02T00:00:00"/>
        <d v="2024-11-14T00:00:00"/>
        <d v="2025-05-11T00:00:00"/>
        <d v="2025-03-18T00:00:00"/>
        <d v="2024-11-04T00:00:00"/>
        <d v="2025-02-07T00:00:00"/>
        <d v="2025-04-06T00:00:00"/>
        <d v="2024-09-08T00:00:00"/>
        <d v="2024-09-29T00:00:00"/>
        <d v="2025-02-06T00:00:00"/>
        <d v="2025-04-24T00:00:00"/>
        <d v="2024-11-28T00:00:00"/>
        <d v="2024-07-11T00:00:00"/>
        <d v="2024-10-29T00:00:00"/>
        <d v="2024-07-15T00:00:00"/>
        <d v="2024-08-31T00:00:00"/>
        <d v="2024-06-05T00:00:00"/>
        <d v="2024-06-16T00:00:00"/>
        <d v="2024-08-22T00:00:00"/>
        <d v="2025-04-22T00:00:00"/>
        <d v="2025-01-01T00:00:00"/>
        <d v="2024-12-21T00:00:00"/>
        <d v="2024-10-22T00:00:00"/>
        <d v="2024-07-23T00:00:00"/>
        <d v="2024-08-11T00:00:00"/>
        <d v="2024-08-24T00:00:00"/>
        <d v="2025-02-19T00:00:00"/>
        <d v="2025-04-01T00:00:00"/>
        <d v="2025-04-08T00:00:00"/>
        <d v="2024-11-12T00:00:00"/>
        <d v="2024-12-03T00:00:00"/>
        <d v="2025-04-28T00:00:00"/>
        <d v="2024-12-31T00:00:00"/>
        <d v="2024-08-14T00:00:00"/>
        <d v="2024-12-05T00:00:00"/>
        <d v="2025-01-17T00:00:00"/>
        <d v="2024-06-20T00:00:00"/>
        <d v="2024-07-10T00:00:00"/>
        <d v="2025-03-21T00:00:00"/>
        <d v="2024-12-17T00:00:00"/>
        <d v="2024-07-28T00:00:00"/>
        <d v="2025-01-11T00:00:00"/>
        <d v="2024-12-22T00:00:00"/>
        <d v="2024-10-04T00:00:00"/>
        <d v="2024-11-29T00:00:00"/>
        <d v="2024-09-11T00:00:00"/>
        <d v="2024-08-15T00:00:00"/>
        <d v="2024-12-19T00:00:00"/>
        <d v="2024-09-14T00:00:00"/>
        <d v="2025-04-07T00:00:00"/>
        <d v="2025-01-15T00:00:00"/>
        <d v="2024-06-02T00:00:00"/>
        <d v="2024-11-21T00:00:00"/>
        <d v="2024-12-29T00:00:00"/>
        <d v="2025-03-19T00:00:00"/>
        <d v="2024-07-18T00:00:00"/>
        <d v="2025-05-01T00:00:00"/>
        <d v="2025-05-06T00:00:00"/>
        <d v="2024-10-08T00:00:00"/>
        <d v="2025-05-13T00:00:00"/>
        <d v="2024-08-07T00:00:00"/>
        <d v="2024-06-12T00:00:00"/>
        <d v="2024-07-01T00:00:00"/>
        <d v="2025-04-29T00:00:00"/>
        <d v="2024-06-01T00:00:00"/>
        <d v="2024-07-16T00:00:00"/>
        <d v="2025-01-18T00:00:00"/>
        <d v="2025-03-06T00:00:00"/>
        <d v="2024-10-25T00:00:00"/>
        <d v="2025-01-12T00:00:00"/>
        <d v="2024-10-11T00:00:00"/>
        <d v="2024-08-27T00:00:00"/>
        <d v="2025-03-27T00:00:00"/>
        <d v="2024-08-03T00:00:00"/>
        <d v="2025-01-14T00:00:00"/>
        <d v="2024-08-05T00:00:00"/>
        <d v="2025-02-12T00:00:00"/>
        <d v="2024-10-27T00:00:00"/>
        <d v="2024-08-20T00:00:00"/>
        <d v="2025-01-30T00:00:00"/>
        <d v="2025-02-20T00:00:00"/>
        <d v="2025-04-13T00:00:00"/>
        <d v="2024-11-05T00:00:00"/>
        <d v="2024-10-17T00:00:00"/>
        <d v="2024-10-12T00:00:00"/>
        <d v="2024-06-07T00:00:00"/>
        <d v="2024-11-26T00:00:00"/>
        <d v="2025-03-22T00:00:00"/>
        <d v="2024-10-03T00:00:00"/>
        <d v="2025-05-09T00:00:00"/>
        <d v="2024-09-25T00:00:00"/>
        <d v="2025-04-17T00:00:00"/>
        <d v="2024-12-20T00:00:00"/>
        <d v="2024-11-17T00:00:00"/>
        <d v="2025-05-14T00:00:00"/>
        <d v="2024-06-19T00:00:00"/>
        <d v="2025-02-11T00:00:00"/>
        <d v="2024-12-24T00:00:00"/>
      </sharedItems>
      <fieldGroup par="16"/>
    </cacheField>
    <cacheField name="Content Type" numFmtId="0">
      <sharedItems count="6">
        <s v="Reel"/>
        <s v="Text"/>
        <s v="Story"/>
        <s v="Carousel"/>
        <s v="Image"/>
        <s v="Video"/>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acheField>
    <cacheField name="Campaign_Name" numFmtId="0">
      <sharedItems count="5">
        <s v="CybertruckLaunch"/>
        <s v="ModelYCampaign"/>
        <s v="FSDUpdate"/>
        <s v="SustainabilityDrive"/>
        <s v="Other"/>
      </sharedItems>
    </cacheField>
    <cacheField name="Engagement Rate" numFmtId="10">
      <sharedItems containsSemiMixedTypes="0" containsString="0" containsNumber="1" minValue="5.2551586421122697E-2" maxValue="1.8129251700680271"/>
    </cacheField>
    <cacheField name="Engagements" numFmtId="0">
      <sharedItems containsSemiMixedTypes="0" containsString="0" containsNumber="1" containsInteger="1" minValue="315" maxValue="6278"/>
    </cacheField>
    <cacheField name="Months (Date)" numFmtId="0" databaseField="0">
      <fieldGroup base="2">
        <rangePr groupBy="months" startDate="2024-06-01T00:00:00" endDate="2025-05-15T00:00:00"/>
        <groupItems count="14">
          <s v="&lt;6/1/2024"/>
          <s v="Jan"/>
          <s v="Feb"/>
          <s v="Mar"/>
          <s v="Apr"/>
          <s v="May"/>
          <s v="Jun"/>
          <s v="Jul"/>
          <s v="Aug"/>
          <s v="Sep"/>
          <s v="Oct"/>
          <s v="Nov"/>
          <s v="Dec"/>
          <s v="&gt;5/15/2025"/>
        </groupItems>
      </fieldGroup>
    </cacheField>
    <cacheField name="Quarters (Date)" numFmtId="0" databaseField="0">
      <fieldGroup base="2">
        <rangePr groupBy="quarters" startDate="2024-06-01T00:00:00" endDate="2025-05-15T00:00:00"/>
        <groupItems count="6">
          <s v="&lt;6/1/2024"/>
          <s v="Qtr1"/>
          <s v="Qtr2"/>
          <s v="Qtr3"/>
          <s v="Qtr4"/>
          <s v="&gt;5/15/2025"/>
        </groupItems>
      </fieldGroup>
    </cacheField>
    <cacheField name="Years (Date)" numFmtId="0" databaseField="0">
      <fieldGroup base="2">
        <rangePr groupBy="years" startDate="2024-06-01T00:00:00" endDate="2025-05-15T00:00:00"/>
        <groupItems count="4">
          <s v="&lt;6/1/2024"/>
          <s v="2024"/>
          <s v="2025"/>
          <s v="&gt;5/15/2025"/>
        </groupItems>
      </fieldGroup>
    </cacheField>
  </cacheFields>
  <extLst>
    <ext xmlns:x14="http://schemas.microsoft.com/office/spreadsheetml/2009/9/main" uri="{725AE2AE-9491-48be-B2B4-4EB974FC3084}">
      <x14:pivotCacheDefinition pivotCacheId="20469462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d v="2024-06-15T00:00:00"/>
    <d v="2024-07-15T00:00:00"/>
    <s v="Product Awareness"/>
    <n v="150000"/>
    <s v="Instagram,Facebook"/>
    <s v="#EVRevolution,#TeslaCoInnovation"/>
    <n v="10.340277163772086"/>
    <n v="22.90199820628969"/>
    <n v="-0.54849890954352254"/>
    <n v="103773"/>
    <n v="1.4454626926079037"/>
    <n v="11253"/>
  </r>
  <r>
    <x v="1"/>
    <d v="2024-10-01T00:00:00"/>
    <d v="2024-10-31T00:00:00"/>
    <s v="Customer Engagement"/>
    <n v="200000"/>
    <s v="Instagram,YouTube"/>
    <s v="#AnytimeIsTeslaTime,"/>
    <n v="13.223504562639771"/>
    <n v="12.96707939392587"/>
    <n v="1.9775090513752706E-2"/>
    <n v="137691"/>
    <n v="1.4525277614368404"/>
    <n v="8436"/>
  </r>
  <r>
    <x v="2"/>
    <d v="2024-12-25T00:00:00"/>
    <d v="2025-01-10T00:00:00"/>
    <s v="Vehicle Launch"/>
    <n v="250000"/>
    <s v="Facebook,Twitter"/>
    <s v="#SmoothLikeNitroTesla"/>
    <n v="15.012452603301554"/>
    <n v="14.479916935875103"/>
    <n v="3.6777536071843982E-2"/>
    <n v="33044"/>
    <n v="7.5656700157365933"/>
    <n v="6530"/>
  </r>
  <r>
    <x v="3"/>
    <d v="2025-03-01T00:00:00"/>
    <d v="2025-03-31T00:00:00"/>
    <s v="Community Growth"/>
    <n v="180000"/>
    <s v="Instagram,Twitter"/>
    <s v="#BetterWithTesla,#FutureOfDriving"/>
    <n v="12.121037527354304"/>
    <n v="19.313845276821624"/>
    <n v="-0.37241717774861466"/>
    <n v="106020"/>
    <n v="1.6977928692699491"/>
    <n v="1178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135"/>
    <n v="88"/>
    <n v="344084"/>
    <n v="8.06"/>
    <n v="5904"/>
    <n v="1047"/>
    <n v="3.0521488935595868E-3"/>
  </r>
  <r>
    <x v="0"/>
    <x v="1"/>
    <n v="1312"/>
    <n v="310"/>
    <n v="42654"/>
    <n v="4.9800000000000004"/>
    <n v="9566"/>
    <n v="1002"/>
    <n v="2.4056467876692595E-2"/>
  </r>
  <r>
    <x v="0"/>
    <x v="2"/>
    <n v="584"/>
    <n v="169"/>
    <n v="146834"/>
    <n v="8.31"/>
    <n v="26752"/>
    <n v="415"/>
    <n v="2.8343316099686518E-3"/>
  </r>
  <r>
    <x v="0"/>
    <x v="3"/>
    <n v="1535"/>
    <n v="445"/>
    <n v="395536"/>
    <n v="4.1100000000000003"/>
    <n v="30671"/>
    <n v="1090"/>
    <n v="2.7633693838953876E-3"/>
  </r>
  <r>
    <x v="1"/>
    <x v="0"/>
    <n v="656"/>
    <n v="139"/>
    <n v="49157"/>
    <n v="9.0500000000000007"/>
    <n v="9920"/>
    <n v="517"/>
    <n v="1.0629111842105262E-2"/>
  </r>
  <r>
    <x v="1"/>
    <x v="1"/>
    <n v="1697"/>
    <n v="414"/>
    <n v="316555"/>
    <n v="2.37"/>
    <n v="7924"/>
    <n v="1283"/>
    <n v="4.06950189043112E-3"/>
  </r>
  <r>
    <x v="1"/>
    <x v="2"/>
    <n v="436"/>
    <n v="250"/>
    <n v="254347"/>
    <n v="4.01"/>
    <n v="8912"/>
    <n v="186"/>
    <n v="7.3181959466637287E-4"/>
  </r>
  <r>
    <x v="1"/>
    <x v="3"/>
    <n v="1197"/>
    <n v="203"/>
    <n v="413878"/>
    <n v="3.16"/>
    <n v="21205"/>
    <n v="994"/>
    <n v="2.4074558471628834E-3"/>
  </r>
  <r>
    <x v="2"/>
    <x v="0"/>
    <n v="1048"/>
    <n v="155"/>
    <n v="456946"/>
    <n v="2.46"/>
    <n v="11329"/>
    <n v="893"/>
    <n v="1.9581057464812205E-3"/>
  </r>
  <r>
    <x v="2"/>
    <x v="1"/>
    <n v="1753"/>
    <n v="371"/>
    <n v="169496"/>
    <n v="8.11"/>
    <n v="46670"/>
    <n v="1382"/>
    <n v="8.2206122036237311E-3"/>
  </r>
  <r>
    <x v="2"/>
    <x v="2"/>
    <n v="1335"/>
    <n v="40"/>
    <n v="122732"/>
    <n v="8.19"/>
    <n v="22482"/>
    <n v="1295"/>
    <n v="1.0663965677676491E-2"/>
  </r>
  <r>
    <x v="2"/>
    <x v="3"/>
    <n v="403"/>
    <n v="66"/>
    <n v="382851"/>
    <n v="3.49"/>
    <n v="24313"/>
    <n v="337"/>
    <n v="8.810135053880381E-4"/>
  </r>
  <r>
    <x v="3"/>
    <x v="0"/>
    <n v="911"/>
    <n v="282"/>
    <n v="35664"/>
    <n v="6.92"/>
    <n v="18050"/>
    <n v="629"/>
    <n v="1.7953475096332241E-2"/>
  </r>
  <r>
    <x v="3"/>
    <x v="1"/>
    <n v="1779"/>
    <n v="109"/>
    <n v="26295"/>
    <n v="9.1199999999999992"/>
    <n v="30635"/>
    <n v="1670"/>
    <n v="6.7817258883248729E-2"/>
  </r>
  <r>
    <x v="3"/>
    <x v="2"/>
    <n v="1238"/>
    <n v="403"/>
    <n v="298421"/>
    <n v="3.5"/>
    <n v="31280"/>
    <n v="835"/>
    <n v="2.8059115684205575E-3"/>
  </r>
  <r>
    <x v="3"/>
    <x v="3"/>
    <n v="308"/>
    <n v="431"/>
    <n v="426184"/>
    <n v="2.62"/>
    <n v="1783"/>
    <n v="-123"/>
    <n v="-2.8852446710938363E-4"/>
  </r>
  <r>
    <x v="4"/>
    <x v="0"/>
    <n v="226"/>
    <n v="445"/>
    <n v="419447"/>
    <n v="9.36"/>
    <n v="9566"/>
    <n v="-219"/>
    <n v="-5.2184356130827853E-4"/>
  </r>
  <r>
    <x v="4"/>
    <x v="1"/>
    <n v="505"/>
    <n v="441"/>
    <n v="220020"/>
    <n v="4.4800000000000004"/>
    <n v="42307"/>
    <n v="64"/>
    <n v="2.9096728436596409E-4"/>
  </r>
  <r>
    <x v="4"/>
    <x v="2"/>
    <n v="1420"/>
    <n v="63"/>
    <n v="315305"/>
    <n v="6.19"/>
    <n v="5914"/>
    <n v="1357"/>
    <n v="4.3223718577598842E-3"/>
  </r>
  <r>
    <x v="4"/>
    <x v="3"/>
    <n v="144"/>
    <n v="53"/>
    <n v="113678"/>
    <n v="8.7200000000000006"/>
    <n v="30060"/>
    <n v="91"/>
    <n v="8.0114801869932302E-4"/>
  </r>
  <r>
    <x v="5"/>
    <x v="0"/>
    <n v="1757"/>
    <n v="85"/>
    <n v="58223"/>
    <n v="8.74"/>
    <n v="22728"/>
    <n v="1672"/>
    <n v="2.9566232250534917E-2"/>
  </r>
  <r>
    <x v="5"/>
    <x v="1"/>
    <n v="350"/>
    <n v="41"/>
    <n v="251694"/>
    <n v="1.91"/>
    <n v="38610"/>
    <n v="309"/>
    <n v="1.2291902858165761E-3"/>
  </r>
  <r>
    <x v="5"/>
    <x v="2"/>
    <n v="987"/>
    <n v="440"/>
    <n v="389810"/>
    <n v="4.66"/>
    <n v="2932"/>
    <n v="547"/>
    <n v="1.4052196073091972E-3"/>
  </r>
  <r>
    <x v="5"/>
    <x v="3"/>
    <n v="883"/>
    <n v="369"/>
    <n v="233694"/>
    <n v="2.88"/>
    <n v="15071"/>
    <n v="514"/>
    <n v="2.2043056865940474E-3"/>
  </r>
  <r>
    <x v="6"/>
    <x v="0"/>
    <n v="1960"/>
    <n v="115"/>
    <n v="154169"/>
    <n v="3.74"/>
    <n v="10740"/>
    <n v="1845"/>
    <n v="1.2112339486883223E-2"/>
  </r>
  <r>
    <x v="6"/>
    <x v="1"/>
    <n v="170"/>
    <n v="334"/>
    <n v="334626"/>
    <n v="6.44"/>
    <n v="43420"/>
    <n v="-164"/>
    <n v="-4.8985931479434872E-4"/>
  </r>
  <r>
    <x v="6"/>
    <x v="2"/>
    <n v="704"/>
    <n v="275"/>
    <n v="226002"/>
    <n v="8.56"/>
    <n v="32393"/>
    <n v="429"/>
    <n v="1.9018233565187323E-3"/>
  </r>
  <r>
    <x v="6"/>
    <x v="3"/>
    <n v="224"/>
    <n v="64"/>
    <n v="156683"/>
    <n v="4.5599999999999996"/>
    <n v="28474"/>
    <n v="160"/>
    <n v="1.0222139877206545E-3"/>
  </r>
  <r>
    <x v="7"/>
    <x v="0"/>
    <n v="508"/>
    <n v="349"/>
    <n v="473812"/>
    <n v="7.88"/>
    <n v="17328"/>
    <n v="159"/>
    <n v="3.3568878482771145E-4"/>
  </r>
  <r>
    <x v="7"/>
    <x v="1"/>
    <n v="1391"/>
    <n v="430"/>
    <n v="295032"/>
    <n v="7.86"/>
    <n v="26067"/>
    <n v="961"/>
    <n v="3.2679182918410859E-3"/>
  </r>
  <r>
    <x v="7"/>
    <x v="2"/>
    <n v="1701"/>
    <n v="385"/>
    <n v="198278"/>
    <n v="5.34"/>
    <n v="32763"/>
    <n v="1316"/>
    <n v="6.6814918613742752E-3"/>
  </r>
  <r>
    <x v="7"/>
    <x v="3"/>
    <n v="804"/>
    <n v="487"/>
    <n v="306564"/>
    <n v="5.52"/>
    <n v="26452"/>
    <n v="317"/>
    <n v="1.0351121806907496E-3"/>
  </r>
  <r>
    <x v="8"/>
    <x v="0"/>
    <n v="653"/>
    <n v="112"/>
    <n v="23664"/>
    <n v="4.05"/>
    <n v="15353"/>
    <n v="541"/>
    <n v="2.3396618085888509E-2"/>
  </r>
  <r>
    <x v="8"/>
    <x v="1"/>
    <n v="160"/>
    <n v="478"/>
    <n v="435034"/>
    <n v="7.73"/>
    <n v="4839"/>
    <n v="-318"/>
    <n v="-7.3044341130855037E-4"/>
  </r>
  <r>
    <x v="8"/>
    <x v="2"/>
    <n v="1756"/>
    <n v="261"/>
    <n v="287574"/>
    <n v="4.3600000000000003"/>
    <n v="39272"/>
    <n v="1495"/>
    <n v="5.2258292289891952E-3"/>
  </r>
  <r>
    <x v="8"/>
    <x v="3"/>
    <n v="576"/>
    <n v="101"/>
    <n v="62499"/>
    <n v="3.48"/>
    <n v="16804"/>
    <n v="475"/>
    <n v="7.6583258093641171E-3"/>
  </r>
  <r>
    <x v="9"/>
    <x v="0"/>
    <n v="645"/>
    <n v="293"/>
    <n v="437968"/>
    <n v="7.83"/>
    <n v="49303"/>
    <n v="352"/>
    <n v="8.0435815875105118E-4"/>
  </r>
  <r>
    <x v="9"/>
    <x v="1"/>
    <n v="214"/>
    <n v="411"/>
    <n v="125034"/>
    <n v="6.11"/>
    <n v="26455"/>
    <n v="-197"/>
    <n v="-1.573092924275938E-3"/>
  </r>
  <r>
    <x v="9"/>
    <x v="2"/>
    <n v="826"/>
    <n v="498"/>
    <n v="449994"/>
    <n v="9.43"/>
    <n v="12384"/>
    <n v="328"/>
    <n v="7.294302882583962E-4"/>
  </r>
  <r>
    <x v="9"/>
    <x v="3"/>
    <n v="460"/>
    <n v="141"/>
    <n v="320650"/>
    <n v="4.04"/>
    <n v="49372"/>
    <n v="319"/>
    <n v="9.9584492290786717E-4"/>
  </r>
  <r>
    <x v="10"/>
    <x v="0"/>
    <n v="1528"/>
    <n v="203"/>
    <n v="489188"/>
    <n v="6.23"/>
    <n v="47101"/>
    <n v="1325"/>
    <n v="2.7159263973697534E-3"/>
  </r>
  <r>
    <x v="10"/>
    <x v="1"/>
    <n v="1534"/>
    <n v="200"/>
    <n v="307612"/>
    <n v="6.01"/>
    <n v="37903"/>
    <n v="1334"/>
    <n v="4.3555201483619459E-3"/>
  </r>
  <r>
    <x v="10"/>
    <x v="2"/>
    <n v="485"/>
    <n v="448"/>
    <n v="434883"/>
    <n v="8.5500000000000007"/>
    <n v="33258"/>
    <n v="37"/>
    <n v="8.5087594228761446E-5"/>
  </r>
  <r>
    <x v="10"/>
    <x v="3"/>
    <n v="1210"/>
    <n v="178"/>
    <n v="102042"/>
    <n v="5.42"/>
    <n v="6915"/>
    <n v="1032"/>
    <n v="1.0216810216810217E-2"/>
  </r>
  <r>
    <x v="11"/>
    <x v="0"/>
    <n v="215"/>
    <n v="139"/>
    <n v="325444"/>
    <n v="3.25"/>
    <n v="35501"/>
    <n v="76"/>
    <n v="2.3358166752723071E-4"/>
  </r>
  <r>
    <x v="11"/>
    <x v="1"/>
    <n v="1078"/>
    <n v="20"/>
    <n v="183924"/>
    <n v="8.84"/>
    <n v="14203"/>
    <n v="1058"/>
    <n v="5.7856572572266033E-3"/>
  </r>
  <r>
    <x v="11"/>
    <x v="2"/>
    <n v="1751"/>
    <n v="86"/>
    <n v="188655"/>
    <n v="7.24"/>
    <n v="22206"/>
    <n v="1665"/>
    <n v="8.9042194769773791E-3"/>
  </r>
  <r>
    <x v="11"/>
    <x v="3"/>
    <n v="221"/>
    <n v="31"/>
    <n v="87443"/>
    <n v="6.19"/>
    <n v="10283"/>
    <n v="190"/>
    <n v="2.1775755561413363E-3"/>
  </r>
  <r>
    <x v="12"/>
    <x v="0"/>
    <n v="1685"/>
    <n v="76"/>
    <n v="453799"/>
    <n v="5.71"/>
    <n v="24913"/>
    <n v="1609"/>
    <n v="3.5582387934275416E-3"/>
  </r>
  <r>
    <x v="12"/>
    <x v="1"/>
    <n v="248"/>
    <n v="211"/>
    <n v="379380"/>
    <n v="9.0399999999999991"/>
    <n v="26925"/>
    <n v="37"/>
    <n v="9.7537057491505044E-5"/>
  </r>
  <r>
    <x v="12"/>
    <x v="2"/>
    <n v="1300"/>
    <n v="71"/>
    <n v="186454"/>
    <n v="3.91"/>
    <n v="9942"/>
    <n v="1229"/>
    <n v="6.6351734377108921E-3"/>
  </r>
  <r>
    <x v="12"/>
    <x v="3"/>
    <n v="422"/>
    <n v="394"/>
    <n v="239044"/>
    <n v="7.83"/>
    <n v="32929"/>
    <n v="28"/>
    <n v="1.1714696924055294E-4"/>
  </r>
  <r>
    <x v="13"/>
    <x v="0"/>
    <n v="1429"/>
    <n v="182"/>
    <n v="101332"/>
    <n v="7.16"/>
    <n v="37829"/>
    <n v="1247"/>
    <n v="1.2459409501923365E-2"/>
  </r>
  <r>
    <x v="13"/>
    <x v="1"/>
    <n v="1520"/>
    <n v="475"/>
    <n v="496982"/>
    <n v="6.41"/>
    <n v="24384"/>
    <n v="1045"/>
    <n v="2.1071224772501347E-3"/>
  </r>
  <r>
    <x v="13"/>
    <x v="2"/>
    <n v="557"/>
    <n v="360"/>
    <n v="318779"/>
    <n v="8.02"/>
    <n v="25797"/>
    <n v="197"/>
    <n v="6.1836513048445924E-4"/>
  </r>
  <r>
    <x v="13"/>
    <x v="3"/>
    <n v="728"/>
    <n v="395"/>
    <n v="370971"/>
    <n v="3.86"/>
    <n v="12646"/>
    <n v="333"/>
    <n v="8.9845077946675727E-4"/>
  </r>
  <r>
    <x v="14"/>
    <x v="0"/>
    <n v="1592"/>
    <n v="20"/>
    <n v="378054"/>
    <n v="9.09"/>
    <n v="26663"/>
    <n v="1572"/>
    <n v="4.1754984302038341E-3"/>
  </r>
  <r>
    <x v="14"/>
    <x v="1"/>
    <n v="1842"/>
    <n v="414"/>
    <n v="307524"/>
    <n v="1.76"/>
    <n v="40478"/>
    <n v="1428"/>
    <n v="4.6652030735455539E-3"/>
  </r>
  <r>
    <x v="14"/>
    <x v="2"/>
    <n v="751"/>
    <n v="491"/>
    <n v="434047"/>
    <n v="9.24"/>
    <n v="15476"/>
    <n v="260"/>
    <n v="5.9937250309483687E-4"/>
  </r>
  <r>
    <x v="14"/>
    <x v="3"/>
    <n v="1409"/>
    <n v="309"/>
    <n v="64583"/>
    <n v="8.99"/>
    <n v="10217"/>
    <n v="1100"/>
    <n v="1.7327473496841675E-2"/>
  </r>
  <r>
    <x v="15"/>
    <x v="0"/>
    <n v="778"/>
    <n v="401"/>
    <n v="50793"/>
    <n v="3.4"/>
    <n v="21939"/>
    <n v="377"/>
    <n v="7.4777848302126308E-3"/>
  </r>
  <r>
    <x v="15"/>
    <x v="1"/>
    <n v="443"/>
    <n v="345"/>
    <n v="474162"/>
    <n v="9.1999999999999993"/>
    <n v="47462"/>
    <n v="98"/>
    <n v="2.0672314286678591E-4"/>
  </r>
  <r>
    <x v="15"/>
    <x v="2"/>
    <n v="1472"/>
    <n v="347"/>
    <n v="392355"/>
    <n v="8.59"/>
    <n v="30270"/>
    <n v="1125"/>
    <n v="2.8755463538072232E-3"/>
  </r>
  <r>
    <x v="15"/>
    <x v="3"/>
    <n v="123"/>
    <n v="155"/>
    <n v="119934"/>
    <n v="3.5"/>
    <n v="5442"/>
    <n v="-32"/>
    <n v="-2.6674224363569678E-4"/>
  </r>
  <r>
    <x v="16"/>
    <x v="0"/>
    <n v="817"/>
    <n v="151"/>
    <n v="422625"/>
    <n v="2.36"/>
    <n v="1083"/>
    <n v="666"/>
    <n v="1.5783523991667436E-3"/>
  </r>
  <r>
    <x v="16"/>
    <x v="1"/>
    <n v="198"/>
    <n v="217"/>
    <n v="239753"/>
    <n v="7.36"/>
    <n v="11901"/>
    <n v="-19"/>
    <n v="-7.9241946515856736E-5"/>
  </r>
  <r>
    <x v="16"/>
    <x v="2"/>
    <n v="1911"/>
    <n v="231"/>
    <n v="268516"/>
    <n v="8.5500000000000007"/>
    <n v="24018"/>
    <n v="1680"/>
    <n v="6.2960020387054219E-3"/>
  </r>
  <r>
    <x v="16"/>
    <x v="3"/>
    <n v="1218"/>
    <n v="212"/>
    <n v="63177"/>
    <n v="8.1300000000000008"/>
    <n v="38883"/>
    <n v="1006"/>
    <n v="1.6181177719515528E-2"/>
  </r>
  <r>
    <x v="17"/>
    <x v="0"/>
    <n v="1433"/>
    <n v="408"/>
    <n v="370269"/>
    <n v="3.3"/>
    <n v="30575"/>
    <n v="1025"/>
    <n v="2.7759421954046647E-3"/>
  </r>
  <r>
    <x v="17"/>
    <x v="1"/>
    <n v="250"/>
    <n v="429"/>
    <n v="453423"/>
    <n v="1.77"/>
    <n v="2315"/>
    <n v="-179"/>
    <n v="-3.9461907134448259E-4"/>
  </r>
  <r>
    <x v="17"/>
    <x v="2"/>
    <n v="752"/>
    <n v="153"/>
    <n v="64906"/>
    <n v="2.09"/>
    <n v="12148"/>
    <n v="599"/>
    <n v="9.3146935792370964E-3"/>
  </r>
  <r>
    <x v="17"/>
    <x v="3"/>
    <n v="1918"/>
    <n v="212"/>
    <n v="94360"/>
    <n v="7.36"/>
    <n v="36851"/>
    <n v="1706"/>
    <n v="1.8412588771126989E-2"/>
  </r>
  <r>
    <x v="18"/>
    <x v="0"/>
    <n v="1939"/>
    <n v="67"/>
    <n v="187183"/>
    <n v="6.25"/>
    <n v="41215"/>
    <n v="1872"/>
    <n v="1.0101936744176006E-2"/>
  </r>
  <r>
    <x v="18"/>
    <x v="1"/>
    <n v="1929"/>
    <n v="267"/>
    <n v="379363"/>
    <n v="1.75"/>
    <n v="43836"/>
    <n v="1662"/>
    <n v="4.400306062202642E-3"/>
  </r>
  <r>
    <x v="18"/>
    <x v="2"/>
    <n v="437"/>
    <n v="330"/>
    <n v="476486"/>
    <n v="4.97"/>
    <n v="4509"/>
    <n v="107"/>
    <n v="2.2461107647482362E-4"/>
  </r>
  <r>
    <x v="18"/>
    <x v="3"/>
    <n v="307"/>
    <n v="189"/>
    <n v="117767"/>
    <n v="9.3000000000000007"/>
    <n v="27822"/>
    <n v="118"/>
    <n v="1.0029834507730621E-3"/>
  </r>
  <r>
    <x v="19"/>
    <x v="0"/>
    <n v="1527"/>
    <n v="303"/>
    <n v="388555"/>
    <n v="8.9"/>
    <n v="36397"/>
    <n v="1224"/>
    <n v="3.1600878834898319E-3"/>
  </r>
  <r>
    <x v="19"/>
    <x v="1"/>
    <n v="643"/>
    <n v="358"/>
    <n v="157599"/>
    <n v="3.88"/>
    <n v="7285"/>
    <n v="285"/>
    <n v="1.8116632976086045E-3"/>
  </r>
  <r>
    <x v="19"/>
    <x v="2"/>
    <n v="201"/>
    <n v="221"/>
    <n v="309772"/>
    <n v="5.9"/>
    <n v="33174"/>
    <n v="-20"/>
    <n v="-6.45594463381882E-5"/>
  </r>
  <r>
    <x v="19"/>
    <x v="3"/>
    <n v="414"/>
    <n v="47"/>
    <n v="199178"/>
    <n v="1.53"/>
    <n v="6742"/>
    <n v="367"/>
    <n v="1.8459743173164463E-3"/>
  </r>
  <r>
    <x v="20"/>
    <x v="0"/>
    <n v="703"/>
    <n v="441"/>
    <n v="357089"/>
    <n v="6.5"/>
    <n v="32478"/>
    <n v="262"/>
    <n v="7.3424937014295445E-4"/>
  </r>
  <r>
    <x v="20"/>
    <x v="1"/>
    <n v="508"/>
    <n v="69"/>
    <n v="23492"/>
    <n v="3.16"/>
    <n v="42824"/>
    <n v="439"/>
    <n v="1.904307465405804E-2"/>
  </r>
  <r>
    <x v="20"/>
    <x v="2"/>
    <n v="697"/>
    <n v="61"/>
    <n v="258287"/>
    <n v="8.25"/>
    <n v="21208"/>
    <n v="636"/>
    <n v="2.4684553912074862E-3"/>
  </r>
  <r>
    <x v="20"/>
    <x v="3"/>
    <n v="1707"/>
    <n v="223"/>
    <n v="256910"/>
    <n v="5.41"/>
    <n v="44321"/>
    <n v="1484"/>
    <n v="5.8099018893926222E-3"/>
  </r>
  <r>
    <x v="21"/>
    <x v="0"/>
    <n v="642"/>
    <n v="66"/>
    <n v="346522"/>
    <n v="5.85"/>
    <n v="13116"/>
    <n v="576"/>
    <n v="1.6649997398437907E-3"/>
  </r>
  <r>
    <x v="21"/>
    <x v="1"/>
    <n v="859"/>
    <n v="473"/>
    <n v="209987"/>
    <n v="4.46"/>
    <n v="30214"/>
    <n v="386"/>
    <n v="1.8415942672029236E-3"/>
  </r>
  <r>
    <x v="21"/>
    <x v="2"/>
    <n v="191"/>
    <n v="154"/>
    <n v="240550"/>
    <n v="5.22"/>
    <n v="15827"/>
    <n v="37"/>
    <n v="1.538378382873275E-4"/>
  </r>
  <r>
    <x v="21"/>
    <x v="3"/>
    <n v="1814"/>
    <n v="157"/>
    <n v="305827"/>
    <n v="1.99"/>
    <n v="46643"/>
    <n v="1657"/>
    <n v="5.4476115330242955E-3"/>
  </r>
  <r>
    <x v="22"/>
    <x v="0"/>
    <n v="1466"/>
    <n v="69"/>
    <n v="54935"/>
    <n v="6.85"/>
    <n v="36484"/>
    <n v="1397"/>
    <n v="2.609361574956106E-2"/>
  </r>
  <r>
    <x v="22"/>
    <x v="1"/>
    <n v="947"/>
    <n v="407"/>
    <n v="319186"/>
    <n v="3.32"/>
    <n v="4996"/>
    <n v="540"/>
    <n v="1.6946705748699183E-3"/>
  </r>
  <r>
    <x v="22"/>
    <x v="2"/>
    <n v="1821"/>
    <n v="218"/>
    <n v="439080"/>
    <n v="5.68"/>
    <n v="36095"/>
    <n v="1603"/>
    <n v="3.6641926318412166E-3"/>
  </r>
  <r>
    <x v="22"/>
    <x v="3"/>
    <n v="1507"/>
    <n v="463"/>
    <n v="258944"/>
    <n v="6.08"/>
    <n v="16443"/>
    <n v="1044"/>
    <n v="4.0480806514152775E-3"/>
  </r>
  <r>
    <x v="23"/>
    <x v="0"/>
    <n v="1075"/>
    <n v="173"/>
    <n v="51395"/>
    <n v="4.66"/>
    <n v="47812"/>
    <n v="902"/>
    <n v="1.7863862317548967E-2"/>
  </r>
  <r>
    <x v="23"/>
    <x v="1"/>
    <n v="171"/>
    <n v="277"/>
    <n v="309483"/>
    <n v="8.6999999999999993"/>
    <n v="38452"/>
    <n v="-106"/>
    <n v="-3.4238942598089728E-4"/>
  </r>
  <r>
    <x v="23"/>
    <x v="2"/>
    <n v="1487"/>
    <n v="337"/>
    <n v="87305"/>
    <n v="2.46"/>
    <n v="30428"/>
    <n v="1150"/>
    <n v="1.3348035517381463E-2"/>
  </r>
  <r>
    <x v="23"/>
    <x v="3"/>
    <n v="454"/>
    <n v="105"/>
    <n v="121091"/>
    <n v="7.97"/>
    <n v="9269"/>
    <n v="349"/>
    <n v="2.8904606516373756E-3"/>
  </r>
  <r>
    <x v="24"/>
    <x v="0"/>
    <n v="187"/>
    <n v="236"/>
    <n v="51087"/>
    <n v="9.41"/>
    <n v="29533"/>
    <n v="-49"/>
    <n v="-9.5822903629536917E-4"/>
  </r>
  <r>
    <x v="24"/>
    <x v="1"/>
    <n v="513"/>
    <n v="441"/>
    <n v="338847"/>
    <n v="2.68"/>
    <n v="39997"/>
    <n v="72"/>
    <n v="2.1253044055789241E-4"/>
  </r>
  <r>
    <x v="24"/>
    <x v="2"/>
    <n v="628"/>
    <n v="183"/>
    <n v="487523"/>
    <n v="7.32"/>
    <n v="5391"/>
    <n v="445"/>
    <n v="9.1361137230587303E-4"/>
  </r>
  <r>
    <x v="24"/>
    <x v="3"/>
    <n v="278"/>
    <n v="218"/>
    <n v="301695"/>
    <n v="4.68"/>
    <n v="22373"/>
    <n v="60"/>
    <n v="1.9891590829976627E-4"/>
  </r>
  <r>
    <x v="25"/>
    <x v="0"/>
    <n v="1854"/>
    <n v="161"/>
    <n v="282466"/>
    <n v="5.17"/>
    <n v="1810"/>
    <n v="1693"/>
    <n v="6.0297820659393885E-3"/>
  </r>
  <r>
    <x v="25"/>
    <x v="1"/>
    <n v="1710"/>
    <n v="378"/>
    <n v="336661"/>
    <n v="6.2"/>
    <n v="28498"/>
    <n v="1332"/>
    <n v="3.9722183288650849E-3"/>
  </r>
  <r>
    <x v="25"/>
    <x v="2"/>
    <n v="330"/>
    <n v="232"/>
    <n v="88455"/>
    <n v="2.69"/>
    <n v="39530"/>
    <n v="98"/>
    <n v="1.1091367973109091E-3"/>
  </r>
  <r>
    <x v="25"/>
    <x v="3"/>
    <n v="1293"/>
    <n v="408"/>
    <n v="62535"/>
    <n v="8.9"/>
    <n v="37876"/>
    <n v="885"/>
    <n v="1.4355231143552312E-2"/>
  </r>
  <r>
    <x v="26"/>
    <x v="0"/>
    <n v="1696"/>
    <n v="71"/>
    <n v="421957"/>
    <n v="3.79"/>
    <n v="36103"/>
    <n v="1625"/>
    <n v="3.8659916446999038E-3"/>
  </r>
  <r>
    <x v="26"/>
    <x v="1"/>
    <n v="1902"/>
    <n v="196"/>
    <n v="470269"/>
    <n v="4.79"/>
    <n v="26103"/>
    <n v="1706"/>
    <n v="3.6409191506798447E-3"/>
  </r>
  <r>
    <x v="26"/>
    <x v="2"/>
    <n v="1441"/>
    <n v="268"/>
    <n v="309904"/>
    <n v="6.37"/>
    <n v="3455"/>
    <n v="1173"/>
    <n v="3.7994240941142936E-3"/>
  </r>
  <r>
    <x v="26"/>
    <x v="3"/>
    <n v="452"/>
    <n v="161"/>
    <n v="221274"/>
    <n v="2.65"/>
    <n v="40888"/>
    <n v="291"/>
    <n v="1.3168433770923554E-3"/>
  </r>
  <r>
    <x v="27"/>
    <x v="0"/>
    <n v="1494"/>
    <n v="375"/>
    <n v="220616"/>
    <n v="1.81"/>
    <n v="22724"/>
    <n v="1119"/>
    <n v="5.0980195629097436E-3"/>
  </r>
  <r>
    <x v="27"/>
    <x v="1"/>
    <n v="1514"/>
    <n v="141"/>
    <n v="35842"/>
    <n v="7.47"/>
    <n v="18601"/>
    <n v="1373"/>
    <n v="3.9832893324436451E-2"/>
  </r>
  <r>
    <x v="27"/>
    <x v="2"/>
    <n v="1937"/>
    <n v="210"/>
    <n v="20607"/>
    <n v="4.2"/>
    <n v="20861"/>
    <n v="1727"/>
    <n v="9.1472457627118642E-2"/>
  </r>
  <r>
    <x v="27"/>
    <x v="3"/>
    <n v="736"/>
    <n v="163"/>
    <n v="451894"/>
    <n v="5.43"/>
    <n v="46625"/>
    <n v="573"/>
    <n v="1.2696063334079292E-3"/>
  </r>
  <r>
    <x v="28"/>
    <x v="0"/>
    <n v="1502"/>
    <n v="70"/>
    <n v="465553"/>
    <n v="3.32"/>
    <n v="20692"/>
    <n v="1432"/>
    <n v="3.0854022981076056E-3"/>
  </r>
  <r>
    <x v="28"/>
    <x v="1"/>
    <n v="1623"/>
    <n v="246"/>
    <n v="415815"/>
    <n v="8.11"/>
    <n v="18656"/>
    <n v="1377"/>
    <n v="3.3225717718935038E-3"/>
  </r>
  <r>
    <x v="28"/>
    <x v="2"/>
    <n v="1592"/>
    <n v="233"/>
    <n v="327183"/>
    <n v="6.66"/>
    <n v="13316"/>
    <n v="1359"/>
    <n v="4.1709634649381259E-3"/>
  </r>
  <r>
    <x v="28"/>
    <x v="3"/>
    <n v="1004"/>
    <n v="128"/>
    <n v="488901"/>
    <n v="8.09"/>
    <n v="49558"/>
    <n v="876"/>
    <n v="1.7949900107576456E-3"/>
  </r>
  <r>
    <x v="29"/>
    <x v="0"/>
    <n v="1092"/>
    <n v="408"/>
    <n v="280795"/>
    <n v="8.44"/>
    <n v="4683"/>
    <n v="684"/>
    <n v="2.4418891082463737E-3"/>
  </r>
  <r>
    <x v="29"/>
    <x v="1"/>
    <n v="1155"/>
    <n v="425"/>
    <n v="93347"/>
    <n v="2.02"/>
    <n v="47502"/>
    <n v="730"/>
    <n v="7.8819223252750582E-3"/>
  </r>
  <r>
    <x v="29"/>
    <x v="2"/>
    <n v="1137"/>
    <n v="226"/>
    <n v="81119"/>
    <n v="7.74"/>
    <n v="35359"/>
    <n v="911"/>
    <n v="1.1357969279872333E-2"/>
  </r>
  <r>
    <x v="29"/>
    <x v="3"/>
    <n v="1900"/>
    <n v="311"/>
    <n v="25177"/>
    <n v="2.89"/>
    <n v="14154"/>
    <n v="1589"/>
    <n v="6.7364761743259283E-2"/>
  </r>
  <r>
    <x v="30"/>
    <x v="0"/>
    <n v="1814"/>
    <n v="49"/>
    <n v="140804"/>
    <n v="1.76"/>
    <n v="4313"/>
    <n v="1765"/>
    <n v="1.2694280022152058E-2"/>
  </r>
  <r>
    <x v="30"/>
    <x v="1"/>
    <n v="1980"/>
    <n v="204"/>
    <n v="379431"/>
    <n v="3.09"/>
    <n v="25140"/>
    <n v="1776"/>
    <n v="4.7027048496643764E-3"/>
  </r>
  <r>
    <x v="30"/>
    <x v="2"/>
    <n v="1786"/>
    <n v="257"/>
    <n v="274831"/>
    <n v="4.68"/>
    <n v="9118"/>
    <n v="1529"/>
    <n v="5.5945437647730353E-3"/>
  </r>
  <r>
    <x v="30"/>
    <x v="3"/>
    <n v="1495"/>
    <n v="35"/>
    <n v="136845"/>
    <n v="4.4800000000000004"/>
    <n v="39931"/>
    <n v="1460"/>
    <n v="1.0784060272556044E-2"/>
  </r>
  <r>
    <x v="31"/>
    <x v="0"/>
    <n v="1013"/>
    <n v="110"/>
    <n v="466382"/>
    <n v="5.3"/>
    <n v="37132"/>
    <n v="903"/>
    <n v="1.9399371400213544E-3"/>
  </r>
  <r>
    <x v="31"/>
    <x v="1"/>
    <n v="816"/>
    <n v="196"/>
    <n v="95728"/>
    <n v="8.1999999999999993"/>
    <n v="17951"/>
    <n v="620"/>
    <n v="6.51890482398957E-3"/>
  </r>
  <r>
    <x v="31"/>
    <x v="2"/>
    <n v="1633"/>
    <n v="445"/>
    <n v="371156"/>
    <n v="2.2200000000000002"/>
    <n v="2798"/>
    <n v="1188"/>
    <n v="3.2110885265752712E-3"/>
  </r>
  <r>
    <x v="31"/>
    <x v="3"/>
    <n v="891"/>
    <n v="45"/>
    <n v="95410"/>
    <n v="8.33"/>
    <n v="15045"/>
    <n v="846"/>
    <n v="8.9463220675944331E-3"/>
  </r>
  <r>
    <x v="32"/>
    <x v="0"/>
    <n v="1855"/>
    <n v="133"/>
    <n v="349413"/>
    <n v="3.3"/>
    <n v="14548"/>
    <n v="1722"/>
    <n v="4.9526734945684533E-3"/>
  </r>
  <r>
    <x v="32"/>
    <x v="1"/>
    <n v="651"/>
    <n v="353"/>
    <n v="224699"/>
    <n v="5.61"/>
    <n v="45708"/>
    <n v="298"/>
    <n v="1.3279798218368011E-3"/>
  </r>
  <r>
    <x v="32"/>
    <x v="2"/>
    <n v="118"/>
    <n v="262"/>
    <n v="487896"/>
    <n v="2.56"/>
    <n v="12350"/>
    <n v="-144"/>
    <n v="-2.9505778214900419E-4"/>
  </r>
  <r>
    <x v="32"/>
    <x v="3"/>
    <n v="1331"/>
    <n v="430"/>
    <n v="14437"/>
    <n v="3.29"/>
    <n v="40868"/>
    <n v="901"/>
    <n v="6.6563238770685582E-2"/>
  </r>
  <r>
    <x v="33"/>
    <x v="0"/>
    <n v="1748"/>
    <n v="176"/>
    <n v="383681"/>
    <n v="9.24"/>
    <n v="43122"/>
    <n v="1572"/>
    <n v="4.1140093533520543E-3"/>
  </r>
  <r>
    <x v="33"/>
    <x v="1"/>
    <n v="663"/>
    <n v="236"/>
    <n v="479490"/>
    <n v="4.51"/>
    <n v="23853"/>
    <n v="427"/>
    <n v="8.9132327063455119E-4"/>
  </r>
  <r>
    <x v="33"/>
    <x v="2"/>
    <n v="1040"/>
    <n v="149"/>
    <n v="124404"/>
    <n v="5.23"/>
    <n v="45380"/>
    <n v="891"/>
    <n v="7.2138155497801851E-3"/>
  </r>
  <r>
    <x v="33"/>
    <x v="3"/>
    <n v="1166"/>
    <n v="442"/>
    <n v="336949"/>
    <n v="4.68"/>
    <n v="7705"/>
    <n v="724"/>
    <n v="2.1533199494386201E-3"/>
  </r>
  <r>
    <x v="34"/>
    <x v="0"/>
    <n v="115"/>
    <n v="281"/>
    <n v="357265"/>
    <n v="9.23"/>
    <n v="25525"/>
    <n v="-166"/>
    <n v="-4.6442530166661538E-4"/>
  </r>
  <r>
    <x v="34"/>
    <x v="1"/>
    <n v="1249"/>
    <n v="351"/>
    <n v="321307"/>
    <n v="6.37"/>
    <n v="20560"/>
    <n v="898"/>
    <n v="2.8026678401667868E-3"/>
  </r>
  <r>
    <x v="34"/>
    <x v="2"/>
    <n v="1501"/>
    <n v="75"/>
    <n v="262569"/>
    <n v="2.0099999999999998"/>
    <n v="19119"/>
    <n v="1426"/>
    <n v="5.4606097042616498E-3"/>
  </r>
  <r>
    <x v="34"/>
    <x v="3"/>
    <n v="1411"/>
    <n v="186"/>
    <n v="461669"/>
    <n v="3.72"/>
    <n v="43999"/>
    <n v="1225"/>
    <n v="2.660475540999557E-3"/>
  </r>
  <r>
    <x v="35"/>
    <x v="0"/>
    <n v="1556"/>
    <n v="476"/>
    <n v="351556"/>
    <n v="3.89"/>
    <n v="10825"/>
    <n v="1080"/>
    <n v="3.0815234138714207E-3"/>
  </r>
  <r>
    <x v="35"/>
    <x v="1"/>
    <n v="1159"/>
    <n v="411"/>
    <n v="135987"/>
    <n v="8.6999999999999993"/>
    <n v="40323"/>
    <n v="748"/>
    <n v="5.5309489126657251E-3"/>
  </r>
  <r>
    <x v="35"/>
    <x v="2"/>
    <n v="927"/>
    <n v="358"/>
    <n v="177554"/>
    <n v="6.95"/>
    <n v="48270"/>
    <n v="569"/>
    <n v="3.2149617199197672E-3"/>
  </r>
  <r>
    <x v="35"/>
    <x v="3"/>
    <n v="152"/>
    <n v="355"/>
    <n v="270766"/>
    <n v="9.48"/>
    <n v="18001"/>
    <n v="-203"/>
    <n v="-7.4916318840900623E-4"/>
  </r>
  <r>
    <x v="36"/>
    <x v="0"/>
    <n v="1957"/>
    <n v="234"/>
    <n v="222126"/>
    <n v="4.6100000000000003"/>
    <n v="3314"/>
    <n v="1723"/>
    <n v="7.8174979469426455E-3"/>
  </r>
  <r>
    <x v="36"/>
    <x v="1"/>
    <n v="1294"/>
    <n v="382"/>
    <n v="309914"/>
    <n v="8.0299999999999994"/>
    <n v="23489"/>
    <n v="912"/>
    <n v="2.951437207526165E-3"/>
  </r>
  <r>
    <x v="36"/>
    <x v="2"/>
    <n v="1587"/>
    <n v="385"/>
    <n v="126582"/>
    <n v="6.99"/>
    <n v="42832"/>
    <n v="1202"/>
    <n v="9.5868559578880207E-3"/>
  </r>
  <r>
    <x v="36"/>
    <x v="3"/>
    <n v="1707"/>
    <n v="263"/>
    <n v="485280"/>
    <n v="9.0299999999999994"/>
    <n v="24494"/>
    <n v="1444"/>
    <n v="2.9844823452574837E-3"/>
  </r>
  <r>
    <x v="37"/>
    <x v="0"/>
    <n v="1138"/>
    <n v="173"/>
    <n v="453243"/>
    <n v="2.86"/>
    <n v="44097"/>
    <n v="965"/>
    <n v="2.1336434670711376E-3"/>
  </r>
  <r>
    <x v="37"/>
    <x v="1"/>
    <n v="1895"/>
    <n v="305"/>
    <n v="104967"/>
    <n v="3.85"/>
    <n v="31853"/>
    <n v="1590"/>
    <n v="1.5380597231492498E-2"/>
  </r>
  <r>
    <x v="37"/>
    <x v="2"/>
    <n v="362"/>
    <n v="399"/>
    <n v="145608"/>
    <n v="7.3"/>
    <n v="37636"/>
    <n v="-37"/>
    <n v="-2.5404236328057951E-4"/>
  </r>
  <r>
    <x v="37"/>
    <x v="3"/>
    <n v="1662"/>
    <n v="487"/>
    <n v="105980"/>
    <n v="9.08"/>
    <n v="22996"/>
    <n v="1175"/>
    <n v="1.1211297170936501E-2"/>
  </r>
  <r>
    <x v="38"/>
    <x v="0"/>
    <n v="1440"/>
    <n v="65"/>
    <n v="126524"/>
    <n v="4.34"/>
    <n v="49772"/>
    <n v="1375"/>
    <n v="1.0986903610895812E-2"/>
  </r>
  <r>
    <x v="38"/>
    <x v="1"/>
    <n v="1884"/>
    <n v="177"/>
    <n v="230448"/>
    <n v="7.8"/>
    <n v="22713"/>
    <n v="1707"/>
    <n v="7.4625886920141118E-3"/>
  </r>
  <r>
    <x v="38"/>
    <x v="2"/>
    <n v="861"/>
    <n v="153"/>
    <n v="317007"/>
    <n v="3.85"/>
    <n v="8718"/>
    <n v="708"/>
    <n v="2.2383883603805262E-3"/>
  </r>
  <r>
    <x v="38"/>
    <x v="3"/>
    <n v="1063"/>
    <n v="47"/>
    <n v="464239"/>
    <n v="6.58"/>
    <n v="39031"/>
    <n v="1016"/>
    <n v="2.1933280515000334E-3"/>
  </r>
  <r>
    <x v="39"/>
    <x v="0"/>
    <n v="1371"/>
    <n v="56"/>
    <n v="257579"/>
    <n v="8.6199999999999992"/>
    <n v="33799"/>
    <n v="1315"/>
    <n v="5.1314269659413726E-3"/>
  </r>
  <r>
    <x v="39"/>
    <x v="1"/>
    <n v="345"/>
    <n v="464"/>
    <n v="366881"/>
    <n v="4.55"/>
    <n v="20553"/>
    <n v="-119"/>
    <n v="-3.242506811989101E-4"/>
  </r>
  <r>
    <x v="39"/>
    <x v="2"/>
    <n v="946"/>
    <n v="47"/>
    <n v="466575"/>
    <n v="8.33"/>
    <n v="10002"/>
    <n v="899"/>
    <n v="1.9305268040440133E-3"/>
  </r>
  <r>
    <x v="39"/>
    <x v="3"/>
    <n v="510"/>
    <n v="195"/>
    <n v="224534"/>
    <n v="9.4"/>
    <n v="30987"/>
    <n v="315"/>
    <n v="1.4048764823676851E-3"/>
  </r>
  <r>
    <x v="40"/>
    <x v="0"/>
    <n v="393"/>
    <n v="181"/>
    <n v="462142"/>
    <n v="7.23"/>
    <n v="6296"/>
    <n v="212"/>
    <n v="4.5894399584352609E-4"/>
  </r>
  <r>
    <x v="40"/>
    <x v="1"/>
    <n v="1098"/>
    <n v="190"/>
    <n v="340842"/>
    <n v="9.39"/>
    <n v="21539"/>
    <n v="908"/>
    <n v="2.6711067442503544E-3"/>
  </r>
  <r>
    <x v="40"/>
    <x v="2"/>
    <n v="1399"/>
    <n v="49"/>
    <n v="12471"/>
    <n v="5.12"/>
    <n v="14722"/>
    <n v="1350"/>
    <n v="0.12139196115457243"/>
  </r>
  <r>
    <x v="40"/>
    <x v="3"/>
    <n v="1658"/>
    <n v="416"/>
    <n v="98397"/>
    <n v="6.11"/>
    <n v="11383"/>
    <n v="1242"/>
    <n v="1.2783696155627605E-2"/>
  </r>
  <r>
    <x v="41"/>
    <x v="0"/>
    <n v="1102"/>
    <n v="422"/>
    <n v="410330"/>
    <n v="7.74"/>
    <n v="9480"/>
    <n v="680"/>
    <n v="1.6599536189430002E-3"/>
  </r>
  <r>
    <x v="41"/>
    <x v="1"/>
    <n v="1358"/>
    <n v="242"/>
    <n v="342129"/>
    <n v="4.9400000000000004"/>
    <n v="29116"/>
    <n v="1116"/>
    <n v="3.2726025107547218E-3"/>
  </r>
  <r>
    <x v="41"/>
    <x v="2"/>
    <n v="1077"/>
    <n v="216"/>
    <n v="12447"/>
    <n v="1.8"/>
    <n v="14068"/>
    <n v="861"/>
    <n v="7.4313827032625582E-2"/>
  </r>
  <r>
    <x v="41"/>
    <x v="3"/>
    <n v="1596"/>
    <n v="211"/>
    <n v="17380"/>
    <n v="8.64"/>
    <n v="35801"/>
    <n v="1385"/>
    <n v="8.6589559237261637E-2"/>
  </r>
  <r>
    <x v="42"/>
    <x v="0"/>
    <n v="490"/>
    <n v="29"/>
    <n v="364810"/>
    <n v="1.53"/>
    <n v="49077"/>
    <n v="461"/>
    <n v="1.2652703863603304E-3"/>
  </r>
  <r>
    <x v="42"/>
    <x v="1"/>
    <n v="609"/>
    <n v="135"/>
    <n v="373606"/>
    <n v="8.52"/>
    <n v="21453"/>
    <n v="474"/>
    <n v="1.2703279268462635E-3"/>
  </r>
  <r>
    <x v="42"/>
    <x v="2"/>
    <n v="364"/>
    <n v="72"/>
    <n v="211090"/>
    <n v="5.53"/>
    <n v="21061"/>
    <n v="292"/>
    <n v="1.3852123834191975E-3"/>
  </r>
  <r>
    <x v="42"/>
    <x v="3"/>
    <n v="442"/>
    <n v="53"/>
    <n v="441931"/>
    <n v="1.87"/>
    <n v="20059"/>
    <n v="389"/>
    <n v="8.8100339265573832E-4"/>
  </r>
  <r>
    <x v="43"/>
    <x v="0"/>
    <n v="1033"/>
    <n v="392"/>
    <n v="282780"/>
    <n v="6.27"/>
    <n v="23140"/>
    <n v="641"/>
    <n v="2.2719297934705941E-3"/>
  </r>
  <r>
    <x v="43"/>
    <x v="1"/>
    <n v="988"/>
    <n v="474"/>
    <n v="370070"/>
    <n v="9.4600000000000009"/>
    <n v="23461"/>
    <n v="514"/>
    <n v="1.3908582190520517E-3"/>
  </r>
  <r>
    <x v="43"/>
    <x v="2"/>
    <n v="1946"/>
    <n v="270"/>
    <n v="198350"/>
    <n v="7.5"/>
    <n v="11805"/>
    <n v="1676"/>
    <n v="8.5217161393981913E-3"/>
  </r>
  <r>
    <x v="43"/>
    <x v="3"/>
    <n v="1957"/>
    <n v="490"/>
    <n v="435726"/>
    <n v="4.7300000000000004"/>
    <n v="15969"/>
    <n v="1467"/>
    <n v="3.3781683281175518E-3"/>
  </r>
  <r>
    <x v="44"/>
    <x v="0"/>
    <n v="559"/>
    <n v="392"/>
    <n v="78789"/>
    <n v="3.19"/>
    <n v="2436"/>
    <n v="167"/>
    <n v="2.1240874055607844E-3"/>
  </r>
  <r>
    <x v="44"/>
    <x v="1"/>
    <n v="1307"/>
    <n v="278"/>
    <n v="98596"/>
    <n v="2.4900000000000002"/>
    <n v="47603"/>
    <n v="1029"/>
    <n v="1.0546598747527339E-2"/>
  </r>
  <r>
    <x v="44"/>
    <x v="2"/>
    <n v="1432"/>
    <n v="425"/>
    <n v="29589"/>
    <n v="4.5"/>
    <n v="42964"/>
    <n v="1007"/>
    <n v="3.5231964173255893E-2"/>
  </r>
  <r>
    <x v="44"/>
    <x v="3"/>
    <n v="623"/>
    <n v="414"/>
    <n v="290354"/>
    <n v="6.49"/>
    <n v="39923"/>
    <n v="209"/>
    <n v="7.2032949042720017E-4"/>
  </r>
  <r>
    <x v="45"/>
    <x v="0"/>
    <n v="198"/>
    <n v="358"/>
    <n v="66682"/>
    <n v="6.73"/>
    <n v="2293"/>
    <n v="-160"/>
    <n v="-2.3937045570150504E-3"/>
  </r>
  <r>
    <x v="45"/>
    <x v="1"/>
    <n v="198"/>
    <n v="373"/>
    <n v="70707"/>
    <n v="4.83"/>
    <n v="25920"/>
    <n v="-175"/>
    <n v="-2.4688919612877742E-3"/>
  </r>
  <r>
    <x v="45"/>
    <x v="2"/>
    <n v="353"/>
    <n v="300"/>
    <n v="142507"/>
    <n v="5.3"/>
    <n v="11035"/>
    <n v="53"/>
    <n v="3.7204992488803405E-4"/>
  </r>
  <r>
    <x v="45"/>
    <x v="3"/>
    <n v="520"/>
    <n v="375"/>
    <n v="369525"/>
    <n v="6.54"/>
    <n v="20733"/>
    <n v="145"/>
    <n v="3.9254967783854025E-4"/>
  </r>
  <r>
    <x v="46"/>
    <x v="0"/>
    <n v="961"/>
    <n v="358"/>
    <n v="62942"/>
    <n v="6.8"/>
    <n v="18693"/>
    <n v="603"/>
    <n v="9.6729174353133666E-3"/>
  </r>
  <r>
    <x v="46"/>
    <x v="1"/>
    <n v="1375"/>
    <n v="330"/>
    <n v="377382"/>
    <n v="2.6"/>
    <n v="7875"/>
    <n v="1045"/>
    <n v="2.7767665682619565E-3"/>
  </r>
  <r>
    <x v="46"/>
    <x v="2"/>
    <n v="1147"/>
    <n v="388"/>
    <n v="333851"/>
    <n v="2.44"/>
    <n v="8471"/>
    <n v="759"/>
    <n v="2.2786497424135072E-3"/>
  </r>
  <r>
    <x v="46"/>
    <x v="3"/>
    <n v="1707"/>
    <n v="74"/>
    <n v="270958"/>
    <n v="3.09"/>
    <n v="14090"/>
    <n v="1633"/>
    <n v="6.0633064141836068E-3"/>
  </r>
  <r>
    <x v="47"/>
    <x v="0"/>
    <n v="1693"/>
    <n v="154"/>
    <n v="445944"/>
    <n v="5.69"/>
    <n v="14216"/>
    <n v="1539"/>
    <n v="3.4630573463394878E-3"/>
  </r>
  <r>
    <x v="47"/>
    <x v="1"/>
    <n v="833"/>
    <n v="380"/>
    <n v="224830"/>
    <n v="3.86"/>
    <n v="3582"/>
    <n v="453"/>
    <n v="2.0189235082027123E-3"/>
  </r>
  <r>
    <x v="47"/>
    <x v="2"/>
    <n v="1222"/>
    <n v="274"/>
    <n v="487289"/>
    <n v="3.16"/>
    <n v="32500"/>
    <n v="948"/>
    <n v="1.9492496005888871E-3"/>
  </r>
  <r>
    <x v="47"/>
    <x v="3"/>
    <n v="777"/>
    <n v="140"/>
    <n v="11435"/>
    <n v="1.6"/>
    <n v="6832"/>
    <n v="637"/>
    <n v="5.8992406001111317E-2"/>
  </r>
  <r>
    <x v="48"/>
    <x v="0"/>
    <n v="1957"/>
    <n v="76"/>
    <n v="447902"/>
    <n v="6.09"/>
    <n v="33381"/>
    <n v="1881"/>
    <n v="4.2172902172767646E-3"/>
  </r>
  <r>
    <x v="48"/>
    <x v="1"/>
    <n v="405"/>
    <n v="66"/>
    <n v="418696"/>
    <n v="5.59"/>
    <n v="48419"/>
    <n v="339"/>
    <n v="8.1031272334393834E-4"/>
  </r>
  <r>
    <x v="48"/>
    <x v="2"/>
    <n v="1581"/>
    <n v="71"/>
    <n v="484364"/>
    <n v="3.55"/>
    <n v="16149"/>
    <n v="1510"/>
    <n v="3.1272392897231877E-3"/>
  </r>
  <r>
    <x v="48"/>
    <x v="3"/>
    <n v="1035"/>
    <n v="171"/>
    <n v="148477"/>
    <n v="5.21"/>
    <n v="7541"/>
    <n v="864"/>
    <n v="5.8531430158590371E-3"/>
  </r>
  <r>
    <x v="49"/>
    <x v="0"/>
    <n v="1765"/>
    <n v="109"/>
    <n v="468301"/>
    <n v="1.82"/>
    <n v="20042"/>
    <n v="1656"/>
    <n v="3.5487361913231685E-3"/>
  </r>
  <r>
    <x v="49"/>
    <x v="1"/>
    <n v="837"/>
    <n v="430"/>
    <n v="364820"/>
    <n v="4"/>
    <n v="49400"/>
    <n v="407"/>
    <n v="1.1168646563102854E-3"/>
  </r>
  <r>
    <x v="49"/>
    <x v="2"/>
    <n v="337"/>
    <n v="68"/>
    <n v="456298"/>
    <n v="7.57"/>
    <n v="4007"/>
    <n v="269"/>
    <n v="5.8987476673632601E-4"/>
  </r>
  <r>
    <x v="49"/>
    <x v="3"/>
    <n v="119"/>
    <n v="456"/>
    <n v="82558"/>
    <n v="6.81"/>
    <n v="12174"/>
    <n v="-337"/>
    <n v="-4.0653839194161288E-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x v="0"/>
    <s v="Twitter"/>
    <d v="2024-12-23T00:00:00"/>
    <s v="Reel"/>
    <n v="1461"/>
    <n v="184"/>
    <n v="344"/>
    <n v="21915"/>
    <n v="21675"/>
    <n v="15"/>
    <x v="0"/>
    <s v="CybertruckLaunch"/>
    <n v="9.0759753593429152E-2"/>
  </r>
  <r>
    <x v="0"/>
    <s v="Twitter"/>
    <d v="2024-12-23T00:00:00"/>
    <s v="Reel"/>
    <n v="1461"/>
    <n v="184"/>
    <n v="344"/>
    <n v="21915"/>
    <n v="21675"/>
    <n v="15"/>
    <x v="1"/>
    <s v="CybertruckLaunch"/>
    <n v="9.0759753593429152E-2"/>
  </r>
  <r>
    <x v="1"/>
    <s v="Twitter"/>
    <d v="2025-04-03T00:00:00"/>
    <s v="Text"/>
    <n v="4054"/>
    <n v="389"/>
    <n v="493"/>
    <n v="64864"/>
    <n v="64383"/>
    <n v="117"/>
    <x v="2"/>
    <s v="ModelYCampaign"/>
    <n v="7.6097681302417369E-2"/>
  </r>
  <r>
    <x v="1"/>
    <s v="Twitter"/>
    <d v="2025-04-03T00:00:00"/>
    <s v="Text"/>
    <n v="4054"/>
    <n v="389"/>
    <n v="493"/>
    <n v="64864"/>
    <n v="64383"/>
    <n v="117"/>
    <x v="3"/>
    <s v="ModelYCampaign"/>
    <n v="7.6097681302417369E-2"/>
  </r>
  <r>
    <x v="2"/>
    <s v="YouTube"/>
    <d v="2025-05-12T00:00:00"/>
    <s v="Reel"/>
    <n v="2795"/>
    <n v="105"/>
    <n v="49"/>
    <n v="53105"/>
    <n v="52307"/>
    <n v="204"/>
    <x v="2"/>
    <s v="FSDUpdate"/>
    <n v="5.5531494209584781E-2"/>
  </r>
  <r>
    <x v="3"/>
    <s v="Instagram"/>
    <d v="2024-08-12T00:00:00"/>
    <s v="Story"/>
    <n v="2404"/>
    <n v="363"/>
    <n v="138"/>
    <n v="19232"/>
    <n v="18636"/>
    <n v="128"/>
    <x v="4"/>
    <s v="SustainabilityDrive"/>
    <n v="0.15105033277870217"/>
  </r>
  <r>
    <x v="4"/>
    <s v="YouTube"/>
    <d v="2024-06-26T00:00:00"/>
    <s v="Reel"/>
    <n v="3557"/>
    <n v="687"/>
    <n v="424"/>
    <n v="71140"/>
    <n v="70701"/>
    <n v="224"/>
    <x v="4"/>
    <s v="CybertruckLaunch"/>
    <n v="6.5617093055946027E-2"/>
  </r>
  <r>
    <x v="4"/>
    <s v="YouTube"/>
    <d v="2024-06-26T00:00:00"/>
    <s v="Reel"/>
    <n v="3557"/>
    <n v="687"/>
    <n v="424"/>
    <n v="71140"/>
    <n v="70701"/>
    <n v="224"/>
    <x v="2"/>
    <s v="CybertruckLaunch"/>
    <n v="6.5617093055946027E-2"/>
  </r>
  <r>
    <x v="5"/>
    <s v="Facebook"/>
    <d v="2024-10-31T00:00:00"/>
    <s v="Carousel"/>
    <n v="2945"/>
    <n v="930"/>
    <n v="355"/>
    <n v="23560"/>
    <n v="23275"/>
    <n v="256"/>
    <x v="2"/>
    <s v="ModelYCampaign"/>
    <n v="0.17954159592529711"/>
  </r>
  <r>
    <x v="6"/>
    <s v="Twitter"/>
    <d v="2024-06-24T00:00:00"/>
    <s v="Carousel"/>
    <n v="3860"/>
    <n v="201"/>
    <n v="279"/>
    <n v="61760"/>
    <n v="61660"/>
    <n v="235"/>
    <x v="2"/>
    <s v="ModelYCampaign"/>
    <n v="7.0272020725388601E-2"/>
  </r>
  <r>
    <x v="7"/>
    <s v="YouTube"/>
    <d v="2024-07-13T00:00:00"/>
    <s v="Image"/>
    <n v="3929"/>
    <n v="262"/>
    <n v="278"/>
    <n v="43219"/>
    <n v="42841"/>
    <n v="39"/>
    <x v="4"/>
    <s v="SustainabilityDrive"/>
    <n v="0.10340359564080612"/>
  </r>
  <r>
    <x v="8"/>
    <s v="Facebook"/>
    <d v="2024-08-30T00:00:00"/>
    <s v="Text"/>
    <n v="3784"/>
    <n v="808"/>
    <n v="404"/>
    <n v="56760"/>
    <n v="56343"/>
    <n v="131"/>
    <x v="2"/>
    <s v="ModelYCampaign"/>
    <n v="8.8019732205778717E-2"/>
  </r>
  <r>
    <x v="9"/>
    <s v="Facebook"/>
    <d v="2025-03-11T00:00:00"/>
    <s v="Image"/>
    <n v="4241"/>
    <n v="902"/>
    <n v="47"/>
    <n v="72097"/>
    <n v="71598"/>
    <n v="167"/>
    <x v="2"/>
    <s v="ModelYCampaign"/>
    <n v="7.198635172059864E-2"/>
  </r>
  <r>
    <x v="10"/>
    <s v="Instagram"/>
    <d v="2025-02-02T00:00:00"/>
    <s v="Story"/>
    <n v="1792"/>
    <n v="614"/>
    <n v="497"/>
    <n v="25088"/>
    <n v="24675"/>
    <n v="65"/>
    <x v="0"/>
    <s v="SustainabilityDrive"/>
    <n v="0.1157126913265306"/>
  </r>
  <r>
    <x v="11"/>
    <s v="Facebook"/>
    <d v="2024-07-21T00:00:00"/>
    <s v="Reel"/>
    <n v="1946"/>
    <n v="686"/>
    <n v="377"/>
    <n v="23352"/>
    <n v="22982"/>
    <n v="213"/>
    <x v="0"/>
    <s v="FSDUpdate"/>
    <n v="0.12885405960945528"/>
  </r>
  <r>
    <x v="12"/>
    <s v="YouTube"/>
    <d v="2024-11-18T00:00:00"/>
    <s v="Carousel"/>
    <n v="1171"/>
    <n v="286"/>
    <n v="231"/>
    <n v="22249"/>
    <n v="21282"/>
    <n v="114"/>
    <x v="4"/>
    <s v="CybertruckLaunch"/>
    <n v="7.5868578363072495E-2"/>
  </r>
  <r>
    <x v="13"/>
    <s v="Facebook"/>
    <d v="2025-02-16T00:00:00"/>
    <s v="Story"/>
    <n v="4242"/>
    <n v="555"/>
    <n v="131"/>
    <n v="33936"/>
    <n v="33802"/>
    <n v="265"/>
    <x v="0"/>
    <s v="Other"/>
    <n v="0.14521452145214522"/>
  </r>
  <r>
    <x v="14"/>
    <s v="Facebook"/>
    <d v="2024-10-24T00:00:00"/>
    <s v="Video"/>
    <n v="3888"/>
    <n v="604"/>
    <n v="128"/>
    <n v="77760"/>
    <n v="77167"/>
    <n v="20"/>
    <x v="0"/>
    <s v="CybertruckLaunch"/>
    <n v="5.941358024691358E-2"/>
  </r>
  <r>
    <x v="15"/>
    <s v="Facebook"/>
    <d v="2024-08-26T00:00:00"/>
    <s v="Text"/>
    <n v="3452"/>
    <n v="377"/>
    <n v="360"/>
    <n v="55232"/>
    <n v="55075"/>
    <n v="87"/>
    <x v="0"/>
    <s v="FSDUpdate"/>
    <n v="7.5843713789107758E-2"/>
  </r>
  <r>
    <x v="16"/>
    <s v="Facebook"/>
    <d v="2025-05-05T00:00:00"/>
    <s v="Text"/>
    <n v="4441"/>
    <n v="511"/>
    <n v="70"/>
    <n v="53292"/>
    <n v="53082"/>
    <n v="159"/>
    <x v="4"/>
    <s v="SustainabilityDrive"/>
    <n v="9.4235532537716729E-2"/>
  </r>
  <r>
    <x v="17"/>
    <s v="Instagram"/>
    <d v="2024-08-19T00:00:00"/>
    <s v="Reel"/>
    <n v="3000"/>
    <n v="382"/>
    <n v="325"/>
    <n v="36000"/>
    <n v="35819"/>
    <n v="19"/>
    <x v="0"/>
    <s v="CybertruckLaunch"/>
    <n v="0.10297222222222224"/>
  </r>
  <r>
    <x v="18"/>
    <s v="Instagram"/>
    <d v="2024-06-23T00:00:00"/>
    <s v="Video"/>
    <n v="1071"/>
    <n v="519"/>
    <n v="22"/>
    <n v="16065"/>
    <n v="15865"/>
    <n v="103"/>
    <x v="2"/>
    <s v="SustainabilityDrive"/>
    <n v="0.10034235916588856"/>
  </r>
  <r>
    <x v="19"/>
    <s v="Instagram"/>
    <d v="2024-09-09T00:00:00"/>
    <s v="Carousel"/>
    <n v="4054"/>
    <n v="488"/>
    <n v="373"/>
    <n v="77026"/>
    <n v="76881"/>
    <n v="25"/>
    <x v="2"/>
    <s v="CybertruckLaunch"/>
    <n v="6.3809622724794221E-2"/>
  </r>
  <r>
    <x v="20"/>
    <s v="Instagram"/>
    <d v="2025-01-04T00:00:00"/>
    <s v="Reel"/>
    <n v="4838"/>
    <n v="640"/>
    <n v="128"/>
    <n v="72570"/>
    <n v="72396"/>
    <n v="83"/>
    <x v="0"/>
    <s v="SustainabilityDrive"/>
    <n v="7.7249552156538517E-2"/>
  </r>
  <r>
    <x v="21"/>
    <s v="Facebook"/>
    <d v="2025-02-27T00:00:00"/>
    <s v="Text"/>
    <n v="1570"/>
    <n v="187"/>
    <n v="260"/>
    <n v="25120"/>
    <n v="24613"/>
    <n v="133"/>
    <x v="2"/>
    <s v="SustainabilityDrive"/>
    <n v="8.0294585987261149E-2"/>
  </r>
  <r>
    <x v="22"/>
    <s v="Facebook"/>
    <d v="2024-11-06T00:00:00"/>
    <s v="Video"/>
    <n v="1606"/>
    <n v="547"/>
    <n v="316"/>
    <n v="32120"/>
    <n v="31736"/>
    <n v="225"/>
    <x v="2"/>
    <s v="ModelYCampaign"/>
    <n v="7.6867995018679955E-2"/>
  </r>
  <r>
    <x v="22"/>
    <s v="Facebook"/>
    <d v="2024-11-06T00:00:00"/>
    <s v="Video"/>
    <n v="1606"/>
    <n v="547"/>
    <n v="316"/>
    <n v="32120"/>
    <n v="31736"/>
    <n v="225"/>
    <x v="1"/>
    <s v="ModelYCampaign"/>
    <n v="7.6867995018679955E-2"/>
  </r>
  <r>
    <x v="23"/>
    <s v="Facebook"/>
    <d v="2025-01-23T00:00:00"/>
    <s v="Video"/>
    <n v="3961"/>
    <n v="761"/>
    <n v="131"/>
    <n v="67337"/>
    <n v="66615"/>
    <n v="161"/>
    <x v="0"/>
    <s v="FSDUpdate"/>
    <n v="7.2070332803659209E-2"/>
  </r>
  <r>
    <x v="24"/>
    <s v="Twitter"/>
    <d v="2025-04-10T00:00:00"/>
    <s v="Carousel"/>
    <n v="3128"/>
    <n v="211"/>
    <n v="197"/>
    <n v="59432"/>
    <n v="59182"/>
    <n v="238"/>
    <x v="4"/>
    <s v="Other"/>
    <n v="5.9496567505720827E-2"/>
  </r>
  <r>
    <x v="25"/>
    <s v="YouTube"/>
    <d v="2025-04-05T00:00:00"/>
    <s v="Reel"/>
    <n v="3009"/>
    <n v="413"/>
    <n v="358"/>
    <n v="42126"/>
    <n v="41309"/>
    <n v="211"/>
    <x v="0"/>
    <s v="ModelYCampaign"/>
    <n v="8.9730807577268201E-2"/>
  </r>
  <r>
    <x v="26"/>
    <s v="YouTube"/>
    <d v="2024-09-17T00:00:00"/>
    <s v="Text"/>
    <n v="2076"/>
    <n v="195"/>
    <n v="104"/>
    <n v="33216"/>
    <n v="32244"/>
    <n v="51"/>
    <x v="0"/>
    <s v="SustainabilityDrive"/>
    <n v="7.1501685934489398E-2"/>
  </r>
  <r>
    <x v="27"/>
    <s v="Instagram"/>
    <d v="2025-03-04T00:00:00"/>
    <s v="Video"/>
    <n v="432"/>
    <n v="624"/>
    <n v="123"/>
    <n v="6912"/>
    <n v="6259"/>
    <n v="79"/>
    <x v="0"/>
    <s v="SustainabilityDrive"/>
    <n v="0.17057291666666666"/>
  </r>
  <r>
    <x v="28"/>
    <s v="Instagram"/>
    <d v="2025-01-31T00:00:00"/>
    <s v="Carousel"/>
    <n v="2566"/>
    <n v="118"/>
    <n v="37"/>
    <n v="12830"/>
    <n v="12264"/>
    <n v="221"/>
    <x v="0"/>
    <s v="FSDUpdate"/>
    <n v="0.21208106001558849"/>
  </r>
  <r>
    <x v="29"/>
    <s v="Instagram"/>
    <d v="2025-02-25T00:00:00"/>
    <s v="Video"/>
    <n v="3095"/>
    <n v="39"/>
    <n v="78"/>
    <n v="55710"/>
    <n v="54808"/>
    <n v="93"/>
    <x v="4"/>
    <s v="Other"/>
    <n v="5.7655717106444085E-2"/>
  </r>
  <r>
    <x v="30"/>
    <s v="Instagram"/>
    <d v="2024-12-16T00:00:00"/>
    <s v="Text"/>
    <n v="438"/>
    <n v="153"/>
    <n v="275"/>
    <n v="3066"/>
    <n v="2701"/>
    <n v="282"/>
    <x v="2"/>
    <s v="ModelYCampaign"/>
    <n v="0.28245270711024134"/>
  </r>
  <r>
    <x v="31"/>
    <s v="Twitter"/>
    <d v="2024-07-31T00:00:00"/>
    <s v="Carousel"/>
    <n v="2278"/>
    <n v="10"/>
    <n v="321"/>
    <n v="13668"/>
    <n v="12676"/>
    <n v="275"/>
    <x v="4"/>
    <s v="CybertruckLaunch"/>
    <n v="0.19088381621305239"/>
  </r>
  <r>
    <x v="32"/>
    <s v="Facebook"/>
    <d v="2024-08-21T00:00:00"/>
    <s v="Image"/>
    <n v="1407"/>
    <n v="400"/>
    <n v="351"/>
    <n v="16884"/>
    <n v="15954"/>
    <n v="113"/>
    <x v="2"/>
    <s v="CybertruckLaunch"/>
    <n v="0.12781331438047855"/>
  </r>
  <r>
    <x v="33"/>
    <s v="Facebook"/>
    <d v="2025-03-26T00:00:00"/>
    <s v="Text"/>
    <n v="1652"/>
    <n v="89"/>
    <n v="357"/>
    <n v="29736"/>
    <n v="28771"/>
    <n v="215"/>
    <x v="2"/>
    <s v="FSDUpdate"/>
    <n v="7.055421038471886E-2"/>
  </r>
  <r>
    <x v="34"/>
    <s v="Instagram"/>
    <d v="2024-11-30T00:00:00"/>
    <s v="Video"/>
    <n v="3775"/>
    <n v="16"/>
    <n v="239"/>
    <n v="33975"/>
    <n v="33310"/>
    <n v="271"/>
    <x v="0"/>
    <s v="ModelYCampaign"/>
    <n v="0.11861662987490802"/>
  </r>
  <r>
    <x v="35"/>
    <s v="Instagram"/>
    <d v="2025-04-19T00:00:00"/>
    <s v="Story"/>
    <n v="4518"/>
    <n v="285"/>
    <n v="383"/>
    <n v="67770"/>
    <n v="67621"/>
    <n v="31"/>
    <x v="4"/>
    <s v="ModelYCampaign"/>
    <n v="7.6523535487678915E-2"/>
  </r>
  <r>
    <x v="36"/>
    <s v="Facebook"/>
    <d v="2025-01-06T00:00:00"/>
    <s v="Carousel"/>
    <n v="3024"/>
    <n v="925"/>
    <n v="350"/>
    <n v="24192"/>
    <n v="23518"/>
    <n v="36"/>
    <x v="4"/>
    <s v="ModelYCampaign"/>
    <n v="0.17770337301587302"/>
  </r>
  <r>
    <x v="37"/>
    <s v="YouTube"/>
    <d v="2025-02-17T00:00:00"/>
    <s v="Reel"/>
    <n v="3138"/>
    <n v="123"/>
    <n v="291"/>
    <n v="28242"/>
    <n v="27550"/>
    <n v="87"/>
    <x v="2"/>
    <s v="SustainabilityDrive"/>
    <n v="0.12577012959422135"/>
  </r>
  <r>
    <x v="38"/>
    <s v="Facebook"/>
    <d v="2024-11-25T00:00:00"/>
    <s v="Image"/>
    <n v="3564"/>
    <n v="629"/>
    <n v="177"/>
    <n v="60588"/>
    <n v="59627"/>
    <n v="92"/>
    <x v="2"/>
    <s v="Other"/>
    <n v="7.2126493695121141E-2"/>
  </r>
  <r>
    <x v="39"/>
    <s v="Twitter"/>
    <d v="2025-03-07T00:00:00"/>
    <s v="Image"/>
    <n v="4750"/>
    <n v="151"/>
    <n v="415"/>
    <n v="38000"/>
    <n v="37792"/>
    <n v="299"/>
    <x v="4"/>
    <s v="SustainabilityDrive"/>
    <n v="0.13989473684210527"/>
  </r>
  <r>
    <x v="40"/>
    <s v="Instagram"/>
    <d v="2025-03-08T00:00:00"/>
    <s v="Reel"/>
    <n v="456"/>
    <n v="629"/>
    <n v="428"/>
    <n v="8208"/>
    <n v="7377"/>
    <n v="205"/>
    <x v="0"/>
    <s v="SustainabilityDrive"/>
    <n v="0.18433235867446393"/>
  </r>
  <r>
    <x v="41"/>
    <s v="YouTube"/>
    <d v="2025-03-05T00:00:00"/>
    <s v="Reel"/>
    <n v="1543"/>
    <n v="820"/>
    <n v="333"/>
    <n v="12344"/>
    <n v="11496"/>
    <n v="241"/>
    <x v="4"/>
    <s v="Other"/>
    <n v="0.21840570317563188"/>
  </r>
  <r>
    <x v="42"/>
    <s v="Instagram"/>
    <d v="2024-12-14T00:00:00"/>
    <s v="Carousel"/>
    <n v="2174"/>
    <n v="658"/>
    <n v="15"/>
    <n v="13044"/>
    <n v="12206"/>
    <n v="137"/>
    <x v="2"/>
    <s v="FSDUpdate"/>
    <n v="0.21826126954921804"/>
  </r>
  <r>
    <x v="43"/>
    <s v="Twitter"/>
    <d v="2025-03-02T00:00:00"/>
    <s v="Image"/>
    <n v="2358"/>
    <n v="784"/>
    <n v="344"/>
    <n v="35370"/>
    <n v="34475"/>
    <n v="216"/>
    <x v="2"/>
    <s v="Other"/>
    <n v="9.8558100084817649E-2"/>
  </r>
  <r>
    <x v="44"/>
    <s v="Facebook"/>
    <d v="2024-11-01T00:00:00"/>
    <s v="Video"/>
    <n v="3371"/>
    <n v="106"/>
    <n v="327"/>
    <n v="50565"/>
    <n v="49816"/>
    <n v="176"/>
    <x v="0"/>
    <s v="CybertruckLaunch"/>
    <n v="7.5229902106199939E-2"/>
  </r>
  <r>
    <x v="45"/>
    <s v="Twitter"/>
    <d v="2025-05-02T00:00:00"/>
    <s v="Video"/>
    <n v="1108"/>
    <n v="177"/>
    <n v="212"/>
    <n v="8864"/>
    <n v="8710"/>
    <n v="97"/>
    <x v="2"/>
    <s v="SustainabilityDrive"/>
    <n v="0.16888537906137183"/>
  </r>
  <r>
    <x v="46"/>
    <s v="Twitter"/>
    <d v="2025-02-24T00:00:00"/>
    <s v="Carousel"/>
    <n v="2704"/>
    <n v="752"/>
    <n v="153"/>
    <n v="21632"/>
    <n v="20792"/>
    <n v="127"/>
    <x v="0"/>
    <s v="Other"/>
    <n v="0.16683616863905326"/>
  </r>
  <r>
    <x v="47"/>
    <s v="Twitter"/>
    <d v="2025-03-11T00:00:00"/>
    <s v="Story"/>
    <n v="1950"/>
    <n v="295"/>
    <n v="478"/>
    <n v="37050"/>
    <n v="36272"/>
    <n v="119"/>
    <x v="2"/>
    <s v="Other"/>
    <n v="7.349527665317139E-2"/>
  </r>
  <r>
    <x v="48"/>
    <s v="Twitter"/>
    <d v="2024-06-10T00:00:00"/>
    <s v="Story"/>
    <n v="2164"/>
    <n v="549"/>
    <n v="274"/>
    <n v="28132"/>
    <n v="27361"/>
    <n v="177"/>
    <x v="2"/>
    <s v="SustainabilityDrive"/>
    <n v="0.10617801791554102"/>
  </r>
  <r>
    <x v="49"/>
    <s v="YouTube"/>
    <d v="2024-07-03T00:00:00"/>
    <s v="Story"/>
    <n v="2754"/>
    <n v="130"/>
    <n v="90"/>
    <n v="22032"/>
    <n v="21288"/>
    <n v="112"/>
    <x v="2"/>
    <s v="FSDUpdate"/>
    <n v="0.13498547567175018"/>
  </r>
  <r>
    <x v="50"/>
    <s v="Facebook"/>
    <d v="2024-06-13T00:00:00"/>
    <s v="Carousel"/>
    <n v="2200"/>
    <n v="504"/>
    <n v="239"/>
    <n v="37400"/>
    <n v="36938"/>
    <n v="225"/>
    <x v="0"/>
    <s v="ModelYCampaign"/>
    <n v="7.8689839572192513E-2"/>
  </r>
  <r>
    <x v="51"/>
    <s v="Facebook"/>
    <d v="2025-01-03T00:00:00"/>
    <s v="Image"/>
    <n v="947"/>
    <n v="338"/>
    <n v="350"/>
    <n v="10417"/>
    <n v="9730"/>
    <n v="34"/>
    <x v="2"/>
    <s v="SustainabilityDrive"/>
    <n v="0.1569549774407219"/>
  </r>
  <r>
    <x v="52"/>
    <s v="YouTube"/>
    <d v="2025-02-24T00:00:00"/>
    <s v="Carousel"/>
    <n v="804"/>
    <n v="639"/>
    <n v="43"/>
    <n v="4020"/>
    <n v="3144"/>
    <n v="11"/>
    <x v="4"/>
    <s v="Other"/>
    <n v="0.36965174129353234"/>
  </r>
  <r>
    <x v="52"/>
    <s v="YouTube"/>
    <d v="2025-02-24T00:00:00"/>
    <s v="Carousel"/>
    <n v="804"/>
    <n v="639"/>
    <n v="43"/>
    <n v="4020"/>
    <n v="3144"/>
    <n v="11"/>
    <x v="3"/>
    <s v="Other"/>
    <n v="0.36965174129353234"/>
  </r>
  <r>
    <x v="53"/>
    <s v="YouTube"/>
    <d v="2025-03-13T00:00:00"/>
    <s v="Carousel"/>
    <n v="1686"/>
    <n v="904"/>
    <n v="472"/>
    <n v="18546"/>
    <n v="18171"/>
    <n v="52"/>
    <x v="0"/>
    <s v="ModelYCampaign"/>
    <n v="0.16510298716704411"/>
  </r>
  <r>
    <x v="54"/>
    <s v="Facebook"/>
    <d v="2024-06-17T00:00:00"/>
    <s v="Image"/>
    <n v="1226"/>
    <n v="119"/>
    <n v="7"/>
    <n v="14712"/>
    <n v="14049"/>
    <n v="123"/>
    <x v="4"/>
    <s v="SustainabilityDrive"/>
    <n v="9.1897770527460579E-2"/>
  </r>
  <r>
    <x v="55"/>
    <s v="Facebook"/>
    <d v="2024-12-18T00:00:00"/>
    <s v="Carousel"/>
    <n v="2946"/>
    <n v="498"/>
    <n v="367"/>
    <n v="29460"/>
    <n v="28527"/>
    <n v="60"/>
    <x v="0"/>
    <s v="FSDUpdate"/>
    <n v="0.12936184657162253"/>
  </r>
  <r>
    <x v="56"/>
    <s v="Twitter"/>
    <d v="2024-10-21T00:00:00"/>
    <s v="Video"/>
    <n v="2825"/>
    <n v="535"/>
    <n v="295"/>
    <n v="45200"/>
    <n v="44739"/>
    <n v="169"/>
    <x v="2"/>
    <s v="CybertruckLaunch"/>
    <n v="8.0862831858407078E-2"/>
  </r>
  <r>
    <x v="57"/>
    <s v="Instagram"/>
    <d v="2025-04-15T00:00:00"/>
    <s v="Reel"/>
    <n v="103"/>
    <n v="770"/>
    <n v="19"/>
    <n v="1030"/>
    <n v="410"/>
    <n v="262"/>
    <x v="2"/>
    <s v="SustainabilityDrive"/>
    <n v="0.86601941747572819"/>
  </r>
  <r>
    <x v="58"/>
    <s v="Instagram"/>
    <d v="2024-06-22T00:00:00"/>
    <s v="Text"/>
    <n v="2180"/>
    <n v="263"/>
    <n v="387"/>
    <n v="30520"/>
    <n v="30059"/>
    <n v="174"/>
    <x v="4"/>
    <s v="Other"/>
    <n v="9.2726081258191345E-2"/>
  </r>
  <r>
    <x v="59"/>
    <s v="Instagram"/>
    <d v="2025-01-28T00:00:00"/>
    <s v="Video"/>
    <n v="904"/>
    <n v="973"/>
    <n v="63"/>
    <n v="11752"/>
    <n v="11580"/>
    <n v="84"/>
    <x v="4"/>
    <s v="FSDUpdate"/>
    <n v="0.1650782845473111"/>
  </r>
  <r>
    <x v="59"/>
    <s v="Instagram"/>
    <d v="2025-01-28T00:00:00"/>
    <s v="Video"/>
    <n v="904"/>
    <n v="973"/>
    <n v="63"/>
    <n v="11752"/>
    <n v="11580"/>
    <n v="84"/>
    <x v="2"/>
    <s v="FSDUpdate"/>
    <n v="0.1650782845473111"/>
  </r>
  <r>
    <x v="59"/>
    <s v="Instagram"/>
    <d v="2025-01-28T00:00:00"/>
    <s v="Video"/>
    <n v="904"/>
    <n v="973"/>
    <n v="63"/>
    <n v="11752"/>
    <n v="11580"/>
    <n v="84"/>
    <x v="1"/>
    <s v="FSDUpdate"/>
    <n v="0.1650782845473111"/>
  </r>
  <r>
    <x v="60"/>
    <s v="Twitter"/>
    <d v="2024-09-05T00:00:00"/>
    <s v="Video"/>
    <n v="4886"/>
    <n v="983"/>
    <n v="409"/>
    <n v="43974"/>
    <n v="43239"/>
    <n v="65"/>
    <x v="2"/>
    <s v="CybertruckLaunch"/>
    <n v="0.14276618001546368"/>
  </r>
  <r>
    <x v="61"/>
    <s v="Twitter"/>
    <d v="2024-11-22T00:00:00"/>
    <s v="Carousel"/>
    <n v="53"/>
    <n v="81"/>
    <n v="379"/>
    <n v="954"/>
    <n v="7"/>
    <n v="148"/>
    <x v="2"/>
    <s v="FSDUpdate"/>
    <n v="0.53773584905660377"/>
  </r>
  <r>
    <x v="62"/>
    <s v="Twitter"/>
    <d v="2024-07-31T00:00:00"/>
    <s v="Carousel"/>
    <n v="4507"/>
    <n v="217"/>
    <n v="13"/>
    <n v="90140"/>
    <n v="89591"/>
    <n v="125"/>
    <x v="0"/>
    <s v="FSDUpdate"/>
    <n v="5.2551586421122697E-2"/>
  </r>
  <r>
    <x v="63"/>
    <s v="Facebook"/>
    <d v="2024-08-17T00:00:00"/>
    <s v="Image"/>
    <n v="2878"/>
    <n v="248"/>
    <n v="416"/>
    <n v="43170"/>
    <n v="42667"/>
    <n v="75"/>
    <x v="0"/>
    <s v="FSDUpdate"/>
    <n v="8.2047718322909427E-2"/>
  </r>
  <r>
    <x v="64"/>
    <s v="Instagram"/>
    <d v="2025-03-28T00:00:00"/>
    <s v="Story"/>
    <n v="1881"/>
    <n v="501"/>
    <n v="99"/>
    <n v="20691"/>
    <n v="19987"/>
    <n v="289"/>
    <x v="4"/>
    <s v="Other"/>
    <n v="0.11990720603160794"/>
  </r>
  <r>
    <x v="65"/>
    <s v="Twitter"/>
    <d v="2024-07-26T00:00:00"/>
    <s v="Carousel"/>
    <n v="432"/>
    <n v="171"/>
    <n v="280"/>
    <n v="3024"/>
    <n v="2285"/>
    <n v="184"/>
    <x v="4"/>
    <s v="CybertruckLaunch"/>
    <n v="0.29199735449735448"/>
  </r>
  <r>
    <x v="66"/>
    <s v="Facebook"/>
    <d v="2025-03-29T00:00:00"/>
    <s v="Carousel"/>
    <n v="4712"/>
    <n v="568"/>
    <n v="127"/>
    <n v="84816"/>
    <n v="84691"/>
    <n v="100"/>
    <x v="4"/>
    <s v="FSDUpdate"/>
    <n v="6.3749764195434822E-2"/>
  </r>
  <r>
    <x v="67"/>
    <s v="Instagram"/>
    <d v="2024-12-08T00:00:00"/>
    <s v="Story"/>
    <n v="2610"/>
    <n v="126"/>
    <n v="288"/>
    <n v="15660"/>
    <n v="15145"/>
    <n v="73"/>
    <x v="4"/>
    <s v="Other"/>
    <n v="0.19310344827586207"/>
  </r>
  <r>
    <x v="68"/>
    <s v="Twitter"/>
    <d v="2025-03-08T00:00:00"/>
    <s v="Text"/>
    <n v="1292"/>
    <n v="626"/>
    <n v="496"/>
    <n v="25840"/>
    <n v="24916"/>
    <n v="149"/>
    <x v="0"/>
    <s v="FSDUpdate"/>
    <n v="9.3421052631578946E-2"/>
  </r>
  <r>
    <x v="69"/>
    <s v="Facebook"/>
    <d v="2025-04-02T00:00:00"/>
    <s v="Video"/>
    <n v="199"/>
    <n v="772"/>
    <n v="400"/>
    <n v="3582"/>
    <n v="2988"/>
    <n v="43"/>
    <x v="2"/>
    <s v="Other"/>
    <n v="0.38274706867671698"/>
  </r>
  <r>
    <x v="70"/>
    <s v="YouTube"/>
    <d v="2024-09-02T00:00:00"/>
    <s v="Carousel"/>
    <n v="2551"/>
    <n v="915"/>
    <n v="205"/>
    <n v="30612"/>
    <n v="30360"/>
    <n v="227"/>
    <x v="2"/>
    <s v="ModelYCampaign"/>
    <n v="0.1199202926956749"/>
  </r>
  <r>
    <x v="71"/>
    <s v="YouTube"/>
    <d v="2025-03-03T00:00:00"/>
    <s v="Reel"/>
    <n v="296"/>
    <n v="60"/>
    <n v="141"/>
    <n v="5624"/>
    <n v="5239"/>
    <n v="88"/>
    <x v="4"/>
    <s v="ModelYCampaign"/>
    <n v="8.837126600284495E-2"/>
  </r>
  <r>
    <x v="72"/>
    <s v="Facebook"/>
    <d v="2024-10-18T00:00:00"/>
    <s v="Story"/>
    <n v="4126"/>
    <n v="426"/>
    <n v="486"/>
    <n v="78394"/>
    <n v="77798"/>
    <n v="88"/>
    <x v="0"/>
    <s v="SustainabilityDrive"/>
    <n v="6.4265122330790625E-2"/>
  </r>
  <r>
    <x v="73"/>
    <s v="YouTube"/>
    <d v="2024-10-28T00:00:00"/>
    <s v="Reel"/>
    <n v="1855"/>
    <n v="200"/>
    <n v="174"/>
    <n v="16695"/>
    <n v="16330"/>
    <n v="123"/>
    <x v="2"/>
    <s v="FSDUpdate"/>
    <n v="0.13351302785265048"/>
  </r>
  <r>
    <x v="74"/>
    <s v="Instagram"/>
    <d v="2024-08-01T00:00:00"/>
    <s v="Reel"/>
    <n v="1674"/>
    <n v="929"/>
    <n v="37"/>
    <n v="21762"/>
    <n v="20998"/>
    <n v="255"/>
    <x v="2"/>
    <s v="SustainabilityDrive"/>
    <n v="0.12131237937689553"/>
  </r>
  <r>
    <x v="75"/>
    <s v="Twitter"/>
    <d v="2024-11-07T00:00:00"/>
    <s v="Story"/>
    <n v="1121"/>
    <n v="135"/>
    <n v="18"/>
    <n v="15694"/>
    <n v="14957"/>
    <n v="99"/>
    <x v="2"/>
    <s v="SustainabilityDrive"/>
    <n v="8.1177520071364848E-2"/>
  </r>
  <r>
    <x v="76"/>
    <s v="Facebook"/>
    <d v="2025-03-04T00:00:00"/>
    <s v="Story"/>
    <n v="1249"/>
    <n v="116"/>
    <n v="420"/>
    <n v="8743"/>
    <n v="8538"/>
    <n v="63"/>
    <x v="2"/>
    <s v="Other"/>
    <n v="0.20416333066453163"/>
  </r>
  <r>
    <x v="77"/>
    <s v="Twitter"/>
    <d v="2024-06-17T00:00:00"/>
    <s v="Image"/>
    <n v="954"/>
    <n v="324"/>
    <n v="288"/>
    <n v="19080"/>
    <n v="18859"/>
    <n v="21"/>
    <x v="0"/>
    <s v="SustainabilityDrive"/>
    <n v="8.2075471698113203E-2"/>
  </r>
  <r>
    <x v="78"/>
    <s v="Instagram"/>
    <d v="2024-10-09T00:00:00"/>
    <s v="Carousel"/>
    <n v="3068"/>
    <n v="137"/>
    <n v="329"/>
    <n v="39884"/>
    <n v="39404"/>
    <n v="266"/>
    <x v="4"/>
    <s v="ModelYCampaign"/>
    <n v="8.860696018453515E-2"/>
  </r>
  <r>
    <x v="79"/>
    <s v="Instagram"/>
    <d v="2024-06-13T00:00:00"/>
    <s v="Story"/>
    <n v="2103"/>
    <n v="892"/>
    <n v="103"/>
    <n v="39957"/>
    <n v="39466"/>
    <n v="28"/>
    <x v="0"/>
    <s v="Other"/>
    <n v="7.7533348349475686E-2"/>
  </r>
  <r>
    <x v="80"/>
    <s v="Instagram"/>
    <d v="2024-10-19T00:00:00"/>
    <s v="Story"/>
    <n v="1816"/>
    <n v="29"/>
    <n v="41"/>
    <n v="19976"/>
    <n v="19262"/>
    <n v="283"/>
    <x v="2"/>
    <s v="FSDUpdate"/>
    <n v="9.4413295955146179E-2"/>
  </r>
  <r>
    <x v="81"/>
    <s v="Instagram"/>
    <d v="2024-07-24T00:00:00"/>
    <s v="Image"/>
    <n v="725"/>
    <n v="88"/>
    <n v="428"/>
    <n v="14500"/>
    <n v="13637"/>
    <n v="200"/>
    <x v="0"/>
    <s v="FSDUpdate"/>
    <n v="8.558620689655172E-2"/>
  </r>
  <r>
    <x v="81"/>
    <s v="Instagram"/>
    <d v="2024-07-24T00:00:00"/>
    <s v="Image"/>
    <n v="725"/>
    <n v="88"/>
    <n v="428"/>
    <n v="14500"/>
    <n v="13637"/>
    <n v="200"/>
    <x v="2"/>
    <s v="FSDUpdate"/>
    <n v="8.558620689655172E-2"/>
  </r>
  <r>
    <x v="81"/>
    <s v="Instagram"/>
    <d v="2024-07-24T00:00:00"/>
    <s v="Image"/>
    <n v="725"/>
    <n v="88"/>
    <n v="428"/>
    <n v="14500"/>
    <n v="13637"/>
    <n v="200"/>
    <x v="1"/>
    <s v="FSDUpdate"/>
    <n v="8.558620689655172E-2"/>
  </r>
  <r>
    <x v="82"/>
    <s v="YouTube"/>
    <d v="2024-10-15T00:00:00"/>
    <s v="Video"/>
    <n v="1094"/>
    <n v="472"/>
    <n v="21"/>
    <n v="9846"/>
    <n v="9609"/>
    <n v="112"/>
    <x v="4"/>
    <s v="Other"/>
    <n v="0.16118220597196831"/>
  </r>
  <r>
    <x v="83"/>
    <s v="Facebook"/>
    <d v="2024-12-09T00:00:00"/>
    <s v="Image"/>
    <n v="1841"/>
    <n v="851"/>
    <n v="342"/>
    <n v="34979"/>
    <n v="34154"/>
    <n v="255"/>
    <x v="0"/>
    <s v="SustainabilityDrive"/>
    <n v="8.6737756939878202E-2"/>
  </r>
  <r>
    <x v="84"/>
    <s v="Instagram"/>
    <d v="2025-04-19T00:00:00"/>
    <s v="Image"/>
    <n v="4177"/>
    <n v="569"/>
    <n v="55"/>
    <n v="25062"/>
    <n v="24847"/>
    <n v="230"/>
    <x v="0"/>
    <s v="CybertruckLaunch"/>
    <n v="0.19156491900087785"/>
  </r>
  <r>
    <x v="85"/>
    <s v="YouTube"/>
    <d v="2025-01-27T00:00:00"/>
    <s v="Text"/>
    <n v="3428"/>
    <n v="305"/>
    <n v="85"/>
    <n v="58276"/>
    <n v="58052"/>
    <n v="242"/>
    <x v="4"/>
    <s v="SustainabilityDrive"/>
    <n v="6.5515821264328367E-2"/>
  </r>
  <r>
    <x v="85"/>
    <s v="YouTube"/>
    <d v="2025-01-27T00:00:00"/>
    <s v="Text"/>
    <n v="3428"/>
    <n v="305"/>
    <n v="85"/>
    <n v="58276"/>
    <n v="58052"/>
    <n v="242"/>
    <x v="3"/>
    <s v="SustainabilityDrive"/>
    <n v="6.5515821264328367E-2"/>
  </r>
  <r>
    <x v="86"/>
    <s v="Twitter"/>
    <d v="2024-06-06T00:00:00"/>
    <s v="Video"/>
    <n v="1436"/>
    <n v="765"/>
    <n v="496"/>
    <n v="12924"/>
    <n v="12701"/>
    <n v="197"/>
    <x v="0"/>
    <s v="FSDUpdate"/>
    <n v="0.20868152274837512"/>
  </r>
  <r>
    <x v="87"/>
    <s v="Facebook"/>
    <d v="2024-07-07T00:00:00"/>
    <s v="Story"/>
    <n v="302"/>
    <n v="47"/>
    <n v="430"/>
    <n v="5738"/>
    <n v="4890"/>
    <n v="25"/>
    <x v="2"/>
    <s v="SustainabilityDrive"/>
    <n v="0.13576158940397351"/>
  </r>
  <r>
    <x v="88"/>
    <s v="Twitter"/>
    <d v="2025-01-10T00:00:00"/>
    <s v="Image"/>
    <n v="2214"/>
    <n v="249"/>
    <n v="152"/>
    <n v="15498"/>
    <n v="14800"/>
    <n v="180"/>
    <x v="4"/>
    <s v="Other"/>
    <n v="0.16873144921925409"/>
  </r>
  <r>
    <x v="89"/>
    <s v="Instagram"/>
    <d v="2024-06-03T00:00:00"/>
    <s v="Image"/>
    <n v="3861"/>
    <n v="960"/>
    <n v="101"/>
    <n v="69498"/>
    <n v="68817"/>
    <n v="297"/>
    <x v="2"/>
    <s v="SustainabilityDrive"/>
    <n v="7.0822181933293038E-2"/>
  </r>
  <r>
    <x v="90"/>
    <s v="Facebook"/>
    <d v="2025-03-24T00:00:00"/>
    <s v="Image"/>
    <n v="1263"/>
    <n v="397"/>
    <n v="357"/>
    <n v="25260"/>
    <n v="24615"/>
    <n v="137"/>
    <x v="4"/>
    <s v="SustainabilityDrive"/>
    <n v="7.984956452889945E-2"/>
  </r>
  <r>
    <x v="91"/>
    <s v="Twitter"/>
    <d v="2024-10-21T00:00:00"/>
    <s v="Story"/>
    <n v="3801"/>
    <n v="967"/>
    <n v="401"/>
    <n v="38010"/>
    <n v="37625"/>
    <n v="236"/>
    <x v="0"/>
    <s v="FSDUpdate"/>
    <n v="0.13599052880820836"/>
  </r>
  <r>
    <x v="92"/>
    <s v="Instagram"/>
    <d v="2024-12-11T00:00:00"/>
    <s v="Video"/>
    <n v="1431"/>
    <n v="951"/>
    <n v="26"/>
    <n v="8586"/>
    <n v="8396"/>
    <n v="150"/>
    <x v="4"/>
    <s v="FSDUpdate"/>
    <n v="0.28045655718611695"/>
  </r>
  <r>
    <x v="93"/>
    <s v="Instagram"/>
    <d v="2024-11-07T00:00:00"/>
    <s v="Image"/>
    <n v="2647"/>
    <n v="304"/>
    <n v="170"/>
    <n v="18529"/>
    <n v="17841"/>
    <n v="46"/>
    <x v="0"/>
    <s v="FSDUpdate"/>
    <n v="0.16843866371633656"/>
  </r>
  <r>
    <x v="94"/>
    <s v="Instagram"/>
    <d v="2024-11-08T00:00:00"/>
    <s v="Text"/>
    <n v="3182"/>
    <n v="559"/>
    <n v="160"/>
    <n v="57276"/>
    <n v="56890"/>
    <n v="163"/>
    <x v="0"/>
    <s v="SustainabilityDrive"/>
    <n v="6.8108806480899509E-2"/>
  </r>
  <r>
    <x v="95"/>
    <s v="Twitter"/>
    <d v="2024-09-10T00:00:00"/>
    <s v="Image"/>
    <n v="1238"/>
    <n v="366"/>
    <n v="444"/>
    <n v="19808"/>
    <n v="19334"/>
    <n v="123"/>
    <x v="0"/>
    <s v="Other"/>
    <n v="0.10339256865912765"/>
  </r>
  <r>
    <x v="96"/>
    <s v="Instagram"/>
    <d v="2024-08-13T00:00:00"/>
    <s v="Image"/>
    <n v="4739"/>
    <n v="527"/>
    <n v="135"/>
    <n v="61607"/>
    <n v="61333"/>
    <n v="36"/>
    <x v="2"/>
    <s v="ModelYCampaign"/>
    <n v="8.7668609086629753E-2"/>
  </r>
  <r>
    <x v="96"/>
    <s v="Instagram"/>
    <d v="2024-08-13T00:00:00"/>
    <s v="Image"/>
    <n v="4739"/>
    <n v="527"/>
    <n v="135"/>
    <n v="61607"/>
    <n v="61333"/>
    <n v="36"/>
    <x v="1"/>
    <s v="ModelYCampaign"/>
    <n v="8.7668609086629753E-2"/>
  </r>
  <r>
    <x v="97"/>
    <s v="Twitter"/>
    <d v="2024-06-10T00:00:00"/>
    <s v="Story"/>
    <n v="1575"/>
    <n v="771"/>
    <n v="486"/>
    <n v="25200"/>
    <n v="24826"/>
    <n v="17"/>
    <x v="0"/>
    <s v="SustainabilityDrive"/>
    <n v="0.1123809523809524"/>
  </r>
  <r>
    <x v="98"/>
    <s v="YouTube"/>
    <d v="2024-07-02T00:00:00"/>
    <s v="Carousel"/>
    <n v="4171"/>
    <n v="548"/>
    <n v="86"/>
    <n v="66736"/>
    <n v="66634"/>
    <n v="173"/>
    <x v="0"/>
    <s v="FSDUpdate"/>
    <n v="7.2000119875329657E-2"/>
  </r>
  <r>
    <x v="99"/>
    <s v="YouTube"/>
    <d v="2025-02-10T00:00:00"/>
    <s v="Video"/>
    <n v="1766"/>
    <n v="92"/>
    <n v="424"/>
    <n v="24724"/>
    <n v="24333"/>
    <n v="52"/>
    <x v="4"/>
    <s v="Other"/>
    <n v="9.2298980747451867E-2"/>
  </r>
  <r>
    <x v="100"/>
    <s v="YouTube"/>
    <d v="2024-10-18T00:00:00"/>
    <s v="Video"/>
    <n v="4450"/>
    <n v="983"/>
    <n v="143"/>
    <n v="75650"/>
    <n v="75008"/>
    <n v="12"/>
    <x v="0"/>
    <s v="FSDUpdate"/>
    <n v="7.3707865168539333E-2"/>
  </r>
  <r>
    <x v="101"/>
    <s v="Twitter"/>
    <d v="2024-09-18T00:00:00"/>
    <s v="Reel"/>
    <n v="1000"/>
    <n v="978"/>
    <n v="162"/>
    <n v="6000"/>
    <n v="5221"/>
    <n v="223"/>
    <x v="4"/>
    <s v="ModelYCampaign"/>
    <n v="0.35666666666666669"/>
  </r>
  <r>
    <x v="102"/>
    <s v="Facebook"/>
    <d v="2024-06-11T00:00:00"/>
    <s v="Image"/>
    <n v="3689"/>
    <n v="48"/>
    <n v="306"/>
    <n v="40579"/>
    <n v="39588"/>
    <n v="212"/>
    <x v="4"/>
    <s v="ModelYCampaign"/>
    <n v="9.9632815002833983E-2"/>
  </r>
  <r>
    <x v="103"/>
    <s v="YouTube"/>
    <d v="2025-03-23T00:00:00"/>
    <s v="Story"/>
    <n v="3655"/>
    <n v="568"/>
    <n v="286"/>
    <n v="32895"/>
    <n v="32015"/>
    <n v="199"/>
    <x v="2"/>
    <s v="FSDUpdate"/>
    <n v="0.13707250341997265"/>
  </r>
  <r>
    <x v="104"/>
    <s v="Instagram"/>
    <d v="2024-06-14T00:00:00"/>
    <s v="Carousel"/>
    <n v="498"/>
    <n v="38"/>
    <n v="42"/>
    <n v="4482"/>
    <n v="3647"/>
    <n v="32"/>
    <x v="0"/>
    <s v="CybertruckLaunch"/>
    <n v="0.12896028558679162"/>
  </r>
  <r>
    <x v="105"/>
    <s v="Instagram"/>
    <d v="2025-02-04T00:00:00"/>
    <s v="Image"/>
    <n v="4619"/>
    <n v="821"/>
    <n v="499"/>
    <n v="69285"/>
    <n v="69141"/>
    <n v="298"/>
    <x v="2"/>
    <s v="SustainabilityDrive"/>
    <n v="8.5718409468138843E-2"/>
  </r>
  <r>
    <x v="106"/>
    <s v="YouTube"/>
    <d v="2024-06-21T00:00:00"/>
    <s v="Image"/>
    <n v="4832"/>
    <n v="893"/>
    <n v="10"/>
    <n v="91808"/>
    <n v="91296"/>
    <n v="182"/>
    <x v="2"/>
    <s v="Other"/>
    <n v="6.2467323109097243E-2"/>
  </r>
  <r>
    <x v="107"/>
    <s v="Twitter"/>
    <d v="2025-03-25T00:00:00"/>
    <s v="Video"/>
    <n v="4050"/>
    <n v="871"/>
    <n v="347"/>
    <n v="52650"/>
    <n v="51755"/>
    <n v="209"/>
    <x v="2"/>
    <s v="ModelYCampaign"/>
    <n v="0.10005698005698006"/>
  </r>
  <r>
    <x v="108"/>
    <s v="Twitter"/>
    <d v="2024-08-08T00:00:00"/>
    <s v="Story"/>
    <n v="3649"/>
    <n v="215"/>
    <n v="413"/>
    <n v="25543"/>
    <n v="24963"/>
    <n v="167"/>
    <x v="0"/>
    <s v="FSDUpdate"/>
    <n v="0.16744313510550837"/>
  </r>
  <r>
    <x v="109"/>
    <s v="Instagram"/>
    <d v="2024-07-29T00:00:00"/>
    <s v="Reel"/>
    <n v="3523"/>
    <n v="753"/>
    <n v="482"/>
    <n v="38753"/>
    <n v="38579"/>
    <n v="270"/>
    <x v="4"/>
    <s v="ModelYCampaign"/>
    <n v="0.12277759141227776"/>
  </r>
  <r>
    <x v="110"/>
    <s v="YouTube"/>
    <d v="2024-11-23T00:00:00"/>
    <s v="Image"/>
    <n v="2719"/>
    <n v="17"/>
    <n v="285"/>
    <n v="40785"/>
    <n v="40281"/>
    <n v="40"/>
    <x v="2"/>
    <s v="ModelYCampaign"/>
    <n v="7.4071349760941527E-2"/>
  </r>
  <r>
    <x v="111"/>
    <s v="Twitter"/>
    <d v="2024-10-05T00:00:00"/>
    <s v="Story"/>
    <n v="1957"/>
    <n v="877"/>
    <n v="238"/>
    <n v="17613"/>
    <n v="16865"/>
    <n v="297"/>
    <x v="0"/>
    <s v="FSDUpdate"/>
    <n v="0.17441662408448305"/>
  </r>
  <r>
    <x v="112"/>
    <s v="Twitter"/>
    <d v="2024-10-02T00:00:00"/>
    <s v="Carousel"/>
    <n v="4419"/>
    <n v="236"/>
    <n v="369"/>
    <n v="44190"/>
    <n v="43582"/>
    <n v="10"/>
    <x v="4"/>
    <s v="CybertruckLaunch"/>
    <n v="0.11369088028965828"/>
  </r>
  <r>
    <x v="113"/>
    <s v="Twitter"/>
    <d v="2024-11-14T00:00:00"/>
    <s v="Story"/>
    <n v="4000"/>
    <n v="689"/>
    <n v="488"/>
    <n v="40000"/>
    <n v="39569"/>
    <n v="44"/>
    <x v="0"/>
    <s v="CybertruckLaunch"/>
    <n v="0.12942500000000001"/>
  </r>
  <r>
    <x v="114"/>
    <s v="Twitter"/>
    <d v="2025-05-11T00:00:00"/>
    <s v="Image"/>
    <n v="2493"/>
    <n v="97"/>
    <n v="44"/>
    <n v="42381"/>
    <n v="41991"/>
    <n v="242"/>
    <x v="2"/>
    <s v="SustainabilityDrive"/>
    <n v="6.2150491965739366E-2"/>
  </r>
  <r>
    <x v="114"/>
    <s v="Twitter"/>
    <d v="2025-05-11T00:00:00"/>
    <s v="Image"/>
    <n v="2493"/>
    <n v="97"/>
    <n v="44"/>
    <n v="42381"/>
    <n v="41991"/>
    <n v="242"/>
    <x v="1"/>
    <s v="SustainabilityDrive"/>
    <n v="6.2150491965739366E-2"/>
  </r>
  <r>
    <x v="115"/>
    <s v="YouTube"/>
    <d v="2025-03-18T00:00:00"/>
    <s v="Reel"/>
    <n v="3704"/>
    <n v="186"/>
    <n v="458"/>
    <n v="25928"/>
    <n v="25081"/>
    <n v="131"/>
    <x v="2"/>
    <s v="Other"/>
    <n v="0.16769515581610614"/>
  </r>
  <r>
    <x v="116"/>
    <s v="Twitter"/>
    <d v="2024-11-04T00:00:00"/>
    <s v="Image"/>
    <n v="1606"/>
    <n v="451"/>
    <n v="405"/>
    <n v="20878"/>
    <n v="20190"/>
    <n v="219"/>
    <x v="4"/>
    <s v="SustainabilityDrive"/>
    <n v="0.11792317271769326"/>
  </r>
  <r>
    <x v="117"/>
    <s v="Facebook"/>
    <d v="2024-11-04T00:00:00"/>
    <s v="Image"/>
    <n v="4551"/>
    <n v="714"/>
    <n v="207"/>
    <n v="68265"/>
    <n v="67754"/>
    <n v="57"/>
    <x v="0"/>
    <s v="FSDUpdate"/>
    <n v="8.0158206987475278E-2"/>
  </r>
  <r>
    <x v="118"/>
    <s v="Instagram"/>
    <d v="2025-02-07T00:00:00"/>
    <s v="Reel"/>
    <n v="1970"/>
    <n v="675"/>
    <n v="478"/>
    <n v="9850"/>
    <n v="8924"/>
    <n v="117"/>
    <x v="0"/>
    <s v="Other"/>
    <n v="0.31705583756345179"/>
  </r>
  <r>
    <x v="119"/>
    <s v="Facebook"/>
    <d v="2024-10-21T00:00:00"/>
    <s v="Story"/>
    <n v="780"/>
    <n v="928"/>
    <n v="301"/>
    <n v="8580"/>
    <n v="8081"/>
    <n v="91"/>
    <x v="4"/>
    <s v="FSDUpdate"/>
    <n v="0.23414918414918415"/>
  </r>
  <r>
    <x v="120"/>
    <s v="Instagram"/>
    <d v="2024-07-29T00:00:00"/>
    <s v="Story"/>
    <n v="498"/>
    <n v="701"/>
    <n v="412"/>
    <n v="4980"/>
    <n v="4185"/>
    <n v="185"/>
    <x v="0"/>
    <s v="Other"/>
    <n v="0.32349397590361445"/>
  </r>
  <r>
    <x v="121"/>
    <s v="Instagram"/>
    <d v="2024-10-02T00:00:00"/>
    <s v="Text"/>
    <n v="3432"/>
    <n v="869"/>
    <n v="123"/>
    <n v="54912"/>
    <n v="53916"/>
    <n v="264"/>
    <x v="4"/>
    <s v="ModelYCampaign"/>
    <n v="8.0565268065268064E-2"/>
  </r>
  <r>
    <x v="122"/>
    <s v="Instagram"/>
    <d v="2024-06-14T00:00:00"/>
    <s v="Story"/>
    <n v="4363"/>
    <n v="649"/>
    <n v="140"/>
    <n v="21815"/>
    <n v="21481"/>
    <n v="157"/>
    <x v="4"/>
    <s v="CybertruckLaunch"/>
    <n v="0.23616777446710979"/>
  </r>
  <r>
    <x v="123"/>
    <s v="YouTube"/>
    <d v="2025-04-06T00:00:00"/>
    <s v="Carousel"/>
    <n v="736"/>
    <n v="771"/>
    <n v="225"/>
    <n v="5152"/>
    <n v="4706"/>
    <n v="19"/>
    <x v="4"/>
    <s v="CybertruckLaunch"/>
    <n v="0.33618012422360249"/>
  </r>
  <r>
    <x v="124"/>
    <s v="Twitter"/>
    <d v="2024-09-08T00:00:00"/>
    <s v="Carousel"/>
    <n v="3811"/>
    <n v="866"/>
    <n v="216"/>
    <n v="34299"/>
    <n v="34088"/>
    <n v="233"/>
    <x v="2"/>
    <s v="SustainabilityDrive"/>
    <n v="0.14265722032712325"/>
  </r>
  <r>
    <x v="125"/>
    <s v="Instagram"/>
    <d v="2025-03-28T00:00:00"/>
    <s v="Carousel"/>
    <n v="4158"/>
    <n v="167"/>
    <n v="241"/>
    <n v="45738"/>
    <n v="45183"/>
    <n v="142"/>
    <x v="0"/>
    <s v="Other"/>
    <n v="9.9829463465827106E-2"/>
  </r>
  <r>
    <x v="126"/>
    <s v="Facebook"/>
    <d v="2025-01-27T00:00:00"/>
    <s v="Reel"/>
    <n v="3452"/>
    <n v="652"/>
    <n v="442"/>
    <n v="65588"/>
    <n v="65049"/>
    <n v="158"/>
    <x v="0"/>
    <s v="FSDUpdate"/>
    <n v="6.9311459413307311E-2"/>
  </r>
  <r>
    <x v="127"/>
    <s v="Twitter"/>
    <d v="2025-01-10T00:00:00"/>
    <s v="Image"/>
    <n v="3092"/>
    <n v="106"/>
    <n v="291"/>
    <n v="27828"/>
    <n v="27217"/>
    <n v="102"/>
    <x v="0"/>
    <s v="Other"/>
    <n v="0.12537731780940059"/>
  </r>
  <r>
    <x v="128"/>
    <s v="Twitter"/>
    <d v="2024-07-21T00:00:00"/>
    <s v="Text"/>
    <n v="2147"/>
    <n v="430"/>
    <n v="393"/>
    <n v="17176"/>
    <n v="16483"/>
    <n v="170"/>
    <x v="2"/>
    <s v="Other"/>
    <n v="0.17291569632044715"/>
  </r>
  <r>
    <x v="129"/>
    <s v="YouTube"/>
    <d v="2024-09-29T00:00:00"/>
    <s v="Reel"/>
    <n v="2936"/>
    <n v="439"/>
    <n v="44"/>
    <n v="38168"/>
    <n v="37571"/>
    <n v="22"/>
    <x v="4"/>
    <s v="SustainabilityDrive"/>
    <n v="8.9577656675749323E-2"/>
  </r>
  <r>
    <x v="130"/>
    <s v="Instagram"/>
    <d v="2024-10-21T00:00:00"/>
    <s v="Reel"/>
    <n v="4840"/>
    <n v="658"/>
    <n v="211"/>
    <n v="43560"/>
    <n v="43225"/>
    <n v="57"/>
    <x v="0"/>
    <s v="FSDUpdate"/>
    <n v="0.13106060606060607"/>
  </r>
  <r>
    <x v="131"/>
    <s v="Instagram"/>
    <d v="2025-03-04T00:00:00"/>
    <s v="Story"/>
    <n v="1947"/>
    <n v="842"/>
    <n v="101"/>
    <n v="21417"/>
    <n v="20967"/>
    <n v="186"/>
    <x v="0"/>
    <s v="ModelYCampaign"/>
    <n v="0.13493953401503478"/>
  </r>
  <r>
    <x v="132"/>
    <s v="Facebook"/>
    <d v="2025-02-06T00:00:00"/>
    <s v="Image"/>
    <n v="2072"/>
    <n v="532"/>
    <n v="71"/>
    <n v="37296"/>
    <n v="36467"/>
    <n v="25"/>
    <x v="2"/>
    <s v="SustainabilityDrive"/>
    <n v="7.172350922350923E-2"/>
  </r>
  <r>
    <x v="133"/>
    <s v="Twitter"/>
    <d v="2025-04-24T00:00:00"/>
    <s v="Reel"/>
    <n v="3731"/>
    <n v="115"/>
    <n v="135"/>
    <n v="55965"/>
    <n v="55436"/>
    <n v="103"/>
    <x v="2"/>
    <s v="CybertruckLaunch"/>
    <n v="7.1133744304476013E-2"/>
  </r>
  <r>
    <x v="134"/>
    <s v="Facebook"/>
    <d v="2024-11-28T00:00:00"/>
    <s v="Text"/>
    <n v="4213"/>
    <n v="253"/>
    <n v="434"/>
    <n v="75834"/>
    <n v="75437"/>
    <n v="272"/>
    <x v="0"/>
    <s v="SustainabilityDrive"/>
    <n v="6.461481657304112E-2"/>
  </r>
  <r>
    <x v="135"/>
    <s v="Instagram"/>
    <d v="2024-07-11T00:00:00"/>
    <s v="Text"/>
    <n v="3134"/>
    <n v="888"/>
    <n v="444"/>
    <n v="21938"/>
    <n v="21337"/>
    <n v="130"/>
    <x v="4"/>
    <s v="SustainabilityDrive"/>
    <n v="0.20357370772176137"/>
  </r>
  <r>
    <x v="136"/>
    <s v="Facebook"/>
    <d v="2024-07-31T00:00:00"/>
    <s v="Video"/>
    <n v="3008"/>
    <n v="94"/>
    <n v="37"/>
    <n v="15040"/>
    <n v="14639"/>
    <n v="277"/>
    <x v="0"/>
    <s v="Other"/>
    <n v="0.20871010638297871"/>
  </r>
  <r>
    <x v="137"/>
    <s v="Twitter"/>
    <d v="2025-03-29T00:00:00"/>
    <s v="Image"/>
    <n v="305"/>
    <n v="187"/>
    <n v="243"/>
    <n v="4575"/>
    <n v="3704"/>
    <n v="234"/>
    <x v="0"/>
    <s v="FSDUpdate"/>
    <n v="0.16065573770491803"/>
  </r>
  <r>
    <x v="138"/>
    <s v="YouTube"/>
    <d v="2024-10-29T00:00:00"/>
    <s v="Text"/>
    <n v="2746"/>
    <n v="156"/>
    <n v="203"/>
    <n v="32952"/>
    <n v="32147"/>
    <n v="147"/>
    <x v="4"/>
    <s v="CybertruckLaunch"/>
    <n v="9.422796795338674E-2"/>
  </r>
  <r>
    <x v="139"/>
    <s v="Facebook"/>
    <d v="2024-07-15T00:00:00"/>
    <s v="Image"/>
    <n v="2291"/>
    <n v="78"/>
    <n v="485"/>
    <n v="18328"/>
    <n v="18101"/>
    <n v="10"/>
    <x v="4"/>
    <s v="ModelYCampaign"/>
    <n v="0.15571802706241816"/>
  </r>
  <r>
    <x v="139"/>
    <s v="Facebook"/>
    <d v="2024-07-15T00:00:00"/>
    <s v="Image"/>
    <n v="2291"/>
    <n v="78"/>
    <n v="485"/>
    <n v="18328"/>
    <n v="18101"/>
    <n v="10"/>
    <x v="5"/>
    <s v="ModelYCampaign"/>
    <n v="0.15571802706241816"/>
  </r>
  <r>
    <x v="140"/>
    <s v="Twitter"/>
    <d v="2024-08-31T00:00:00"/>
    <s v="Image"/>
    <n v="3170"/>
    <n v="857"/>
    <n v="379"/>
    <n v="19020"/>
    <n v="18559"/>
    <n v="240"/>
    <x v="0"/>
    <s v="Other"/>
    <n v="0.2316508937960042"/>
  </r>
  <r>
    <x v="141"/>
    <s v="YouTube"/>
    <d v="2025-03-25T00:00:00"/>
    <s v="Story"/>
    <n v="2070"/>
    <n v="275"/>
    <n v="386"/>
    <n v="39330"/>
    <n v="38627"/>
    <n v="114"/>
    <x v="0"/>
    <s v="SustainabilityDrive"/>
    <n v="6.9438087973557078E-2"/>
  </r>
  <r>
    <x v="142"/>
    <s v="YouTube"/>
    <d v="2024-10-02T00:00:00"/>
    <s v="Carousel"/>
    <n v="80"/>
    <n v="362"/>
    <n v="80"/>
    <n v="1040"/>
    <n v="349"/>
    <n v="117"/>
    <x v="2"/>
    <s v="FSDUpdate"/>
    <n v="0.50192307692307692"/>
  </r>
  <r>
    <x v="143"/>
    <s v="YouTube"/>
    <d v="2024-10-28T00:00:00"/>
    <s v="Story"/>
    <n v="4929"/>
    <n v="749"/>
    <n v="452"/>
    <n v="93651"/>
    <n v="92810"/>
    <n v="66"/>
    <x v="4"/>
    <s v="SustainabilityDrive"/>
    <n v="6.5455787978772245E-2"/>
  </r>
  <r>
    <x v="144"/>
    <s v="Instagram"/>
    <d v="2024-08-12T00:00:00"/>
    <s v="Carousel"/>
    <n v="1878"/>
    <n v="62"/>
    <n v="179"/>
    <n v="37560"/>
    <n v="36874"/>
    <n v="142"/>
    <x v="2"/>
    <s v="SustainabilityDrive"/>
    <n v="5.6416400425985093E-2"/>
  </r>
  <r>
    <x v="145"/>
    <s v="YouTube"/>
    <d v="2024-06-05T00:00:00"/>
    <s v="Reel"/>
    <n v="3065"/>
    <n v="772"/>
    <n v="142"/>
    <n v="18390"/>
    <n v="17875"/>
    <n v="200"/>
    <x v="4"/>
    <s v="Other"/>
    <n v="0.21636759108210984"/>
  </r>
  <r>
    <x v="145"/>
    <s v="YouTube"/>
    <d v="2024-06-05T00:00:00"/>
    <s v="Reel"/>
    <n v="3065"/>
    <n v="772"/>
    <n v="142"/>
    <n v="18390"/>
    <n v="17875"/>
    <n v="200"/>
    <x v="1"/>
    <s v="Other"/>
    <n v="0.21636759108210984"/>
  </r>
  <r>
    <x v="146"/>
    <s v="Instagram"/>
    <d v="2024-10-21T00:00:00"/>
    <s v="Reel"/>
    <n v="3256"/>
    <n v="459"/>
    <n v="266"/>
    <n v="26048"/>
    <n v="25529"/>
    <n v="143"/>
    <x v="2"/>
    <s v="ModelYCampaign"/>
    <n v="0.15283323095823095"/>
  </r>
  <r>
    <x v="147"/>
    <s v="Instagram"/>
    <d v="2025-04-15T00:00:00"/>
    <s v="Video"/>
    <n v="4133"/>
    <n v="466"/>
    <n v="327"/>
    <n v="24798"/>
    <n v="24620"/>
    <n v="176"/>
    <x v="4"/>
    <s v="SustainabilityDrive"/>
    <n v="0.19864505202032423"/>
  </r>
  <r>
    <x v="148"/>
    <s v="Twitter"/>
    <d v="2024-06-16T00:00:00"/>
    <s v="Video"/>
    <n v="1702"/>
    <n v="750"/>
    <n v="179"/>
    <n v="34040"/>
    <n v="33174"/>
    <n v="76"/>
    <x v="4"/>
    <s v="CybertruckLaunch"/>
    <n v="7.7291421856639245E-2"/>
  </r>
  <r>
    <x v="149"/>
    <s v="YouTube"/>
    <d v="2024-08-22T00:00:00"/>
    <s v="Carousel"/>
    <n v="4295"/>
    <n v="853"/>
    <n v="325"/>
    <n v="85900"/>
    <n v="85788"/>
    <n v="290"/>
    <x v="2"/>
    <s v="SustainabilityDrive"/>
    <n v="6.3713620488940623E-2"/>
  </r>
  <r>
    <x v="150"/>
    <s v="Instagram"/>
    <d v="2024-07-26T00:00:00"/>
    <s v="Image"/>
    <n v="3559"/>
    <n v="59"/>
    <n v="289"/>
    <n v="35590"/>
    <n v="35105"/>
    <n v="122"/>
    <x v="4"/>
    <s v="CybertruckLaunch"/>
    <n v="0.10977802753582468"/>
  </r>
  <r>
    <x v="151"/>
    <s v="Facebook"/>
    <d v="2025-04-22T00:00:00"/>
    <s v="Image"/>
    <n v="4804"/>
    <n v="550"/>
    <n v="270"/>
    <n v="28824"/>
    <n v="28370"/>
    <n v="47"/>
    <x v="4"/>
    <s v="SustainabilityDrive"/>
    <n v="0.19511518179295032"/>
  </r>
  <r>
    <x v="152"/>
    <s v="Twitter"/>
    <d v="2025-01-01T00:00:00"/>
    <s v="Video"/>
    <n v="754"/>
    <n v="197"/>
    <n v="257"/>
    <n v="6786"/>
    <n v="6221"/>
    <n v="212"/>
    <x v="2"/>
    <s v="FSDUpdate"/>
    <n v="0.17801355732390214"/>
  </r>
  <r>
    <x v="153"/>
    <s v="Instagram"/>
    <d v="2024-10-09T00:00:00"/>
    <s v="Carousel"/>
    <n v="985"/>
    <n v="932"/>
    <n v="287"/>
    <n v="6895"/>
    <n v="6757"/>
    <n v="64"/>
    <x v="0"/>
    <s v="SustainabilityDrive"/>
    <n v="0.31965192168237855"/>
  </r>
  <r>
    <x v="154"/>
    <s v="YouTube"/>
    <d v="2024-12-21T00:00:00"/>
    <s v="Image"/>
    <n v="2283"/>
    <n v="210"/>
    <n v="130"/>
    <n v="22830"/>
    <n v="22617"/>
    <n v="143"/>
    <x v="0"/>
    <s v="ModelYCampaign"/>
    <n v="0.11489268506351293"/>
  </r>
  <r>
    <x v="155"/>
    <s v="Facebook"/>
    <d v="2024-10-22T00:00:00"/>
    <s v="Carousel"/>
    <n v="3352"/>
    <n v="941"/>
    <n v="482"/>
    <n v="43576"/>
    <n v="43338"/>
    <n v="240"/>
    <x v="0"/>
    <s v="ModelYCampaign"/>
    <n v="0.1095786671562328"/>
  </r>
  <r>
    <x v="156"/>
    <s v="YouTube"/>
    <d v="2024-07-23T00:00:00"/>
    <s v="Story"/>
    <n v="4775"/>
    <n v="173"/>
    <n v="206"/>
    <n v="47750"/>
    <n v="47544"/>
    <n v="187"/>
    <x v="0"/>
    <s v="ModelYCampaign"/>
    <n v="0.10793717277486913"/>
  </r>
  <r>
    <x v="157"/>
    <s v="Instagram"/>
    <d v="2024-08-11T00:00:00"/>
    <s v="Story"/>
    <n v="1762"/>
    <n v="405"/>
    <n v="423"/>
    <n v="22906"/>
    <n v="21925"/>
    <n v="25"/>
    <x v="2"/>
    <s v="CybertruckLaunch"/>
    <n v="0.11307081114118572"/>
  </r>
  <r>
    <x v="158"/>
    <s v="Facebook"/>
    <d v="2024-11-25T00:00:00"/>
    <s v="Story"/>
    <n v="2120"/>
    <n v="158"/>
    <n v="488"/>
    <n v="12720"/>
    <n v="12085"/>
    <n v="17"/>
    <x v="0"/>
    <s v="ModelYCampaign"/>
    <n v="0.21745283018867925"/>
  </r>
  <r>
    <x v="159"/>
    <s v="Twitter"/>
    <d v="2024-08-24T00:00:00"/>
    <s v="Video"/>
    <n v="1082"/>
    <n v="209"/>
    <n v="484"/>
    <n v="19476"/>
    <n v="18654"/>
    <n v="20"/>
    <x v="2"/>
    <s v="Other"/>
    <n v="9.1137810638734842E-2"/>
  </r>
  <r>
    <x v="160"/>
    <s v="Twitter"/>
    <d v="2025-02-19T00:00:00"/>
    <s v="Text"/>
    <n v="4671"/>
    <n v="876"/>
    <n v="366"/>
    <n v="51381"/>
    <n v="50565"/>
    <n v="245"/>
    <x v="2"/>
    <s v="SustainabilityDrive"/>
    <n v="0.11508145034156594"/>
  </r>
  <r>
    <x v="161"/>
    <s v="Facebook"/>
    <d v="2025-04-01T00:00:00"/>
    <s v="Story"/>
    <n v="3430"/>
    <n v="566"/>
    <n v="164"/>
    <n v="48020"/>
    <n v="47305"/>
    <n v="120"/>
    <x v="0"/>
    <s v="Other"/>
    <n v="8.6630570595585168E-2"/>
  </r>
  <r>
    <x v="162"/>
    <s v="Instagram"/>
    <d v="2025-04-08T00:00:00"/>
    <s v="Image"/>
    <n v="4501"/>
    <n v="375"/>
    <n v="323"/>
    <n v="22505"/>
    <n v="21836"/>
    <n v="132"/>
    <x v="2"/>
    <s v="ModelYCampaign"/>
    <n v="0.23101532992668297"/>
  </r>
  <r>
    <x v="163"/>
    <s v="YouTube"/>
    <d v="2025-02-27T00:00:00"/>
    <s v="Text"/>
    <n v="4934"/>
    <n v="971"/>
    <n v="156"/>
    <n v="39472"/>
    <n v="39025"/>
    <n v="169"/>
    <x v="2"/>
    <s v="SustainabilityDrive"/>
    <n v="0.15355188488042157"/>
  </r>
  <r>
    <x v="163"/>
    <s v="YouTube"/>
    <d v="2025-02-27T00:00:00"/>
    <s v="Text"/>
    <n v="4934"/>
    <n v="971"/>
    <n v="156"/>
    <n v="39472"/>
    <n v="39025"/>
    <n v="169"/>
    <x v="1"/>
    <s v="SustainabilityDrive"/>
    <n v="0.15355188488042157"/>
  </r>
  <r>
    <x v="164"/>
    <s v="Twitter"/>
    <d v="2024-12-11T00:00:00"/>
    <s v="Text"/>
    <n v="3239"/>
    <n v="43"/>
    <n v="211"/>
    <n v="22673"/>
    <n v="22171"/>
    <n v="230"/>
    <x v="2"/>
    <s v="ModelYCampaign"/>
    <n v="0.15405989502933004"/>
  </r>
  <r>
    <x v="165"/>
    <s v="Twitter"/>
    <d v="2025-02-16T00:00:00"/>
    <s v="Reel"/>
    <n v="1076"/>
    <n v="313"/>
    <n v="306"/>
    <n v="11836"/>
    <n v="11596"/>
    <n v="104"/>
    <x v="0"/>
    <s v="CybertruckLaunch"/>
    <n v="0.14320716458262928"/>
  </r>
  <r>
    <x v="166"/>
    <s v="Instagram"/>
    <d v="2024-11-28T00:00:00"/>
    <s v="Text"/>
    <n v="4771"/>
    <n v="818"/>
    <n v="56"/>
    <n v="57252"/>
    <n v="56378"/>
    <n v="150"/>
    <x v="0"/>
    <s v="Other"/>
    <n v="9.859917557465242E-2"/>
  </r>
  <r>
    <x v="167"/>
    <s v="Facebook"/>
    <d v="2024-11-12T00:00:00"/>
    <s v="Text"/>
    <n v="2418"/>
    <n v="754"/>
    <n v="54"/>
    <n v="43524"/>
    <n v="42743"/>
    <n v="182"/>
    <x v="4"/>
    <s v="CybertruckLaunch"/>
    <n v="7.412002573292896E-2"/>
  </r>
  <r>
    <x v="168"/>
    <s v="YouTube"/>
    <d v="2024-12-03T00:00:00"/>
    <s v="Video"/>
    <n v="3809"/>
    <n v="273"/>
    <n v="200"/>
    <n v="34281"/>
    <n v="33534"/>
    <n v="83"/>
    <x v="4"/>
    <s v="CybertruckLaunch"/>
    <n v="0.12490884163239112"/>
  </r>
  <r>
    <x v="169"/>
    <s v="Twitter"/>
    <d v="2025-04-28T00:00:00"/>
    <s v="Text"/>
    <n v="3577"/>
    <n v="596"/>
    <n v="493"/>
    <n v="67963"/>
    <n v="67839"/>
    <n v="53"/>
    <x v="2"/>
    <s v="FSDUpdate"/>
    <n v="6.8655003457763777E-2"/>
  </r>
  <r>
    <x v="170"/>
    <s v="YouTube"/>
    <d v="2024-12-31T00:00:00"/>
    <s v="Video"/>
    <n v="1018"/>
    <n v="447"/>
    <n v="332"/>
    <n v="18324"/>
    <n v="18164"/>
    <n v="38"/>
    <x v="0"/>
    <s v="ModelYCampaign"/>
    <n v="9.8068107400130972E-2"/>
  </r>
  <r>
    <x v="171"/>
    <s v="Facebook"/>
    <d v="2024-08-14T00:00:00"/>
    <s v="Carousel"/>
    <n v="3073"/>
    <n v="553"/>
    <n v="174"/>
    <n v="52241"/>
    <n v="51605"/>
    <n v="246"/>
    <x v="4"/>
    <s v="FSDUpdate"/>
    <n v="7.2739802071170159E-2"/>
  </r>
  <r>
    <x v="172"/>
    <s v="Twitter"/>
    <d v="2024-12-05T00:00:00"/>
    <s v="Video"/>
    <n v="1330"/>
    <n v="925"/>
    <n v="35"/>
    <n v="15960"/>
    <n v="15379"/>
    <n v="229"/>
    <x v="0"/>
    <s v="FSDUpdate"/>
    <n v="0.14348370927318296"/>
  </r>
  <r>
    <x v="173"/>
    <s v="Facebook"/>
    <d v="2024-06-22T00:00:00"/>
    <s v="Text"/>
    <n v="3828"/>
    <n v="148"/>
    <n v="253"/>
    <n v="30624"/>
    <n v="30229"/>
    <n v="235"/>
    <x v="4"/>
    <s v="Other"/>
    <n v="0.13809430512016718"/>
  </r>
  <r>
    <x v="174"/>
    <s v="Instagram"/>
    <d v="2025-01-17T00:00:00"/>
    <s v="Reel"/>
    <n v="142"/>
    <n v="784"/>
    <n v="183"/>
    <n v="1704"/>
    <n v="995"/>
    <n v="154"/>
    <x v="0"/>
    <s v="SustainabilityDrive"/>
    <n v="0.6508215962441315"/>
  </r>
  <r>
    <x v="175"/>
    <s v="Facebook"/>
    <d v="2024-06-20T00:00:00"/>
    <s v="Video"/>
    <n v="3798"/>
    <n v="31"/>
    <n v="279"/>
    <n v="75960"/>
    <n v="75813"/>
    <n v="266"/>
    <x v="2"/>
    <s v="CybertruckLaunch"/>
    <n v="5.4081095313322801E-2"/>
  </r>
  <r>
    <x v="176"/>
    <s v="Instagram"/>
    <d v="2024-07-10T00:00:00"/>
    <s v="Carousel"/>
    <n v="3099"/>
    <n v="694"/>
    <n v="171"/>
    <n v="43386"/>
    <n v="42921"/>
    <n v="52"/>
    <x v="2"/>
    <s v="FSDUpdate"/>
    <n v="9.1365878393951966E-2"/>
  </r>
  <r>
    <x v="177"/>
    <s v="Instagram"/>
    <d v="2024-11-07T00:00:00"/>
    <s v="Video"/>
    <n v="129"/>
    <n v="643"/>
    <n v="136"/>
    <n v="1290"/>
    <n v="839"/>
    <n v="238"/>
    <x v="2"/>
    <s v="SustainabilityDrive"/>
    <n v="0.70387596899224802"/>
  </r>
  <r>
    <x v="178"/>
    <s v="Facebook"/>
    <d v="2024-07-15T00:00:00"/>
    <s v="Carousel"/>
    <n v="3796"/>
    <n v="667"/>
    <n v="395"/>
    <n v="64532"/>
    <n v="63550"/>
    <n v="292"/>
    <x v="2"/>
    <s v="Other"/>
    <n v="7.5280481001673588E-2"/>
  </r>
  <r>
    <x v="179"/>
    <s v="YouTube"/>
    <d v="2024-12-03T00:00:00"/>
    <s v="Text"/>
    <n v="3711"/>
    <n v="352"/>
    <n v="290"/>
    <n v="48243"/>
    <n v="47579"/>
    <n v="11"/>
    <x v="2"/>
    <s v="CybertruckLaunch"/>
    <n v="9.023070704558174E-2"/>
  </r>
  <r>
    <x v="180"/>
    <s v="YouTube"/>
    <d v="2025-03-21T00:00:00"/>
    <s v="Image"/>
    <n v="606"/>
    <n v="789"/>
    <n v="470"/>
    <n v="7878"/>
    <n v="7389"/>
    <n v="239"/>
    <x v="4"/>
    <s v="FSDUpdate"/>
    <n v="0.23673521198273673"/>
  </r>
  <r>
    <x v="181"/>
    <s v="Facebook"/>
    <d v="2024-07-31T00:00:00"/>
    <s v="Image"/>
    <n v="4689"/>
    <n v="134"/>
    <n v="403"/>
    <n v="51579"/>
    <n v="50924"/>
    <n v="173"/>
    <x v="2"/>
    <s v="SustainabilityDrive"/>
    <n v="0.1013203047751992"/>
  </r>
  <r>
    <x v="182"/>
    <s v="Instagram"/>
    <d v="2024-12-17T00:00:00"/>
    <s v="Story"/>
    <n v="360"/>
    <n v="590"/>
    <n v="393"/>
    <n v="4680"/>
    <n v="4322"/>
    <n v="208"/>
    <x v="0"/>
    <s v="ModelYCampaign"/>
    <n v="0.28696581196581195"/>
  </r>
  <r>
    <x v="183"/>
    <s v="Twitter"/>
    <d v="2024-07-28T00:00:00"/>
    <s v="Image"/>
    <n v="3215"/>
    <n v="960"/>
    <n v="202"/>
    <n v="32150"/>
    <n v="31404"/>
    <n v="251"/>
    <x v="4"/>
    <s v="CybertruckLaunch"/>
    <n v="0.13614307931570763"/>
  </r>
  <r>
    <x v="184"/>
    <s v="Instagram"/>
    <d v="2025-01-11T00:00:00"/>
    <s v="Carousel"/>
    <n v="4523"/>
    <n v="61"/>
    <n v="157"/>
    <n v="49753"/>
    <n v="49329"/>
    <n v="71"/>
    <x v="4"/>
    <s v="Other"/>
    <n v="9.5290736237010829E-2"/>
  </r>
  <r>
    <x v="185"/>
    <s v="Facebook"/>
    <d v="2024-08-24T00:00:00"/>
    <s v="Carousel"/>
    <n v="4292"/>
    <n v="51"/>
    <n v="392"/>
    <n v="55796"/>
    <n v="54826"/>
    <n v="264"/>
    <x v="4"/>
    <s v="FSDUpdate"/>
    <n v="8.4862714173059003E-2"/>
  </r>
  <r>
    <x v="186"/>
    <s v="Twitter"/>
    <d v="2024-12-22T00:00:00"/>
    <s v="Reel"/>
    <n v="1644"/>
    <n v="546"/>
    <n v="150"/>
    <n v="27948"/>
    <n v="27184"/>
    <n v="300"/>
    <x v="4"/>
    <s v="FSDUpdate"/>
    <n v="8.3726921425504502E-2"/>
  </r>
  <r>
    <x v="187"/>
    <s v="YouTube"/>
    <d v="2024-06-06T00:00:00"/>
    <s v="Reel"/>
    <n v="2728"/>
    <n v="533"/>
    <n v="215"/>
    <n v="40920"/>
    <n v="40816"/>
    <n v="137"/>
    <x v="0"/>
    <s v="ModelYCampaign"/>
    <n v="8.4946236559139771E-2"/>
  </r>
  <r>
    <x v="188"/>
    <s v="Facebook"/>
    <d v="2025-03-24T00:00:00"/>
    <s v="Reel"/>
    <n v="3360"/>
    <n v="525"/>
    <n v="500"/>
    <n v="60480"/>
    <n v="59610"/>
    <n v="192"/>
    <x v="2"/>
    <s v="CybertruckLaunch"/>
    <n v="7.2503306878306875E-2"/>
  </r>
  <r>
    <x v="189"/>
    <s v="YouTube"/>
    <d v="2024-10-04T00:00:00"/>
    <s v="Text"/>
    <n v="1963"/>
    <n v="213"/>
    <n v="19"/>
    <n v="39260"/>
    <n v="38771"/>
    <n v="145"/>
    <x v="0"/>
    <s v="Other"/>
    <n v="5.5909322465613857E-2"/>
  </r>
  <r>
    <x v="190"/>
    <s v="YouTube"/>
    <d v="2024-12-03T00:00:00"/>
    <s v="Story"/>
    <n v="4285"/>
    <n v="886"/>
    <n v="376"/>
    <n v="55705"/>
    <n v="55556"/>
    <n v="51"/>
    <x v="0"/>
    <s v="FSDUpdate"/>
    <n v="9.9578134817341346E-2"/>
  </r>
  <r>
    <x v="191"/>
    <s v="Instagram"/>
    <d v="2024-11-29T00:00:00"/>
    <s v="Video"/>
    <n v="1176"/>
    <n v="464"/>
    <n v="394"/>
    <n v="14112"/>
    <n v="13588"/>
    <n v="272"/>
    <x v="4"/>
    <s v="Other"/>
    <n v="0.1441326530612245"/>
  </r>
  <r>
    <x v="192"/>
    <s v="Twitter"/>
    <d v="2024-09-11T00:00:00"/>
    <s v="Image"/>
    <n v="4858"/>
    <n v="317"/>
    <n v="129"/>
    <n v="53438"/>
    <n v="52687"/>
    <n v="223"/>
    <x v="4"/>
    <s v="FSDUpdate"/>
    <n v="9.9255211647142502E-2"/>
  </r>
  <r>
    <x v="193"/>
    <s v="YouTube"/>
    <d v="2024-10-02T00:00:00"/>
    <s v="Story"/>
    <n v="4350"/>
    <n v="771"/>
    <n v="7"/>
    <n v="60900"/>
    <n v="60592"/>
    <n v="195"/>
    <x v="4"/>
    <s v="CybertruckLaunch"/>
    <n v="8.4203612479474554E-2"/>
  </r>
  <r>
    <x v="194"/>
    <s v="Instagram"/>
    <d v="2024-08-15T00:00:00"/>
    <s v="Carousel"/>
    <n v="914"/>
    <n v="464"/>
    <n v="246"/>
    <n v="11882"/>
    <n v="11500"/>
    <n v="282"/>
    <x v="0"/>
    <s v="SustainabilityDrive"/>
    <n v="0.13667732704931829"/>
  </r>
  <r>
    <x v="194"/>
    <s v="Instagram"/>
    <d v="2024-08-15T00:00:00"/>
    <s v="Carousel"/>
    <n v="914"/>
    <n v="464"/>
    <n v="246"/>
    <n v="11882"/>
    <n v="11500"/>
    <n v="282"/>
    <x v="2"/>
    <s v="SustainabilityDrive"/>
    <n v="0.13667732704931829"/>
  </r>
  <r>
    <x v="194"/>
    <s v="Instagram"/>
    <d v="2024-08-15T00:00:00"/>
    <s v="Carousel"/>
    <n v="914"/>
    <n v="464"/>
    <n v="246"/>
    <n v="11882"/>
    <n v="11500"/>
    <n v="282"/>
    <x v="1"/>
    <s v="SustainabilityDrive"/>
    <n v="0.13667732704931829"/>
  </r>
  <r>
    <x v="195"/>
    <s v="Instagram"/>
    <d v="2024-12-19T00:00:00"/>
    <s v="Text"/>
    <n v="1813"/>
    <n v="623"/>
    <n v="72"/>
    <n v="19943"/>
    <n v="18959"/>
    <n v="85"/>
    <x v="4"/>
    <s v="FSDUpdate"/>
    <n v="0.12575841147269717"/>
  </r>
  <r>
    <x v="196"/>
    <s v="Twitter"/>
    <d v="2024-10-22T00:00:00"/>
    <s v="Reel"/>
    <n v="4782"/>
    <n v="721"/>
    <n v="82"/>
    <n v="86076"/>
    <n v="85339"/>
    <n v="19"/>
    <x v="4"/>
    <s v="CybertruckLaunch"/>
    <n v="6.4884520656164318E-2"/>
  </r>
  <r>
    <x v="197"/>
    <s v="Twitter"/>
    <d v="2024-09-14T00:00:00"/>
    <s v="Image"/>
    <n v="1048"/>
    <n v="374"/>
    <n v="450"/>
    <n v="9432"/>
    <n v="8882"/>
    <n v="158"/>
    <x v="2"/>
    <s v="FSDUpdate"/>
    <n v="0.19847328244274809"/>
  </r>
  <r>
    <x v="198"/>
    <s v="YouTube"/>
    <d v="2024-11-30T00:00:00"/>
    <s v="Carousel"/>
    <n v="2509"/>
    <n v="324"/>
    <n v="171"/>
    <n v="35126"/>
    <n v="34685"/>
    <n v="277"/>
    <x v="2"/>
    <s v="ModelYCampaign"/>
    <n v="8.5520696919660646E-2"/>
  </r>
  <r>
    <x v="199"/>
    <s v="Facebook"/>
    <d v="2025-04-07T00:00:00"/>
    <s v="Reel"/>
    <n v="3718"/>
    <n v="385"/>
    <n v="310"/>
    <n v="70642"/>
    <n v="69749"/>
    <n v="233"/>
    <x v="2"/>
    <s v="ModelYCampaign"/>
    <n v="6.246991874522239E-2"/>
  </r>
  <r>
    <x v="200"/>
    <s v="Twitter"/>
    <d v="2025-01-15T00:00:00"/>
    <s v="Reel"/>
    <n v="802"/>
    <n v="262"/>
    <n v="244"/>
    <n v="14436"/>
    <n v="14280"/>
    <n v="49"/>
    <x v="4"/>
    <s v="CybertruckLaunch"/>
    <n v="9.0606816292601824E-2"/>
  </r>
  <r>
    <x v="201"/>
    <s v="Facebook"/>
    <d v="2024-06-02T00:00:00"/>
    <s v="Image"/>
    <n v="1871"/>
    <n v="252"/>
    <n v="335"/>
    <n v="29936"/>
    <n v="29576"/>
    <n v="288"/>
    <x v="4"/>
    <s v="FSDUpdate"/>
    <n v="8.2108498129342594E-2"/>
  </r>
  <r>
    <x v="202"/>
    <s v="Instagram"/>
    <d v="2024-11-21T00:00:00"/>
    <s v="Carousel"/>
    <n v="3773"/>
    <n v="299"/>
    <n v="38"/>
    <n v="71687"/>
    <n v="71447"/>
    <n v="286"/>
    <x v="0"/>
    <s v="CybertruckLaunch"/>
    <n v="5.7332570758993957E-2"/>
  </r>
  <r>
    <x v="203"/>
    <s v="Instagram"/>
    <d v="2025-01-01T00:00:00"/>
    <s v="Carousel"/>
    <n v="2234"/>
    <n v="653"/>
    <n v="432"/>
    <n v="11170"/>
    <n v="10569"/>
    <n v="198"/>
    <x v="0"/>
    <s v="FSDUpdate"/>
    <n v="0.29713518352730528"/>
  </r>
  <r>
    <x v="204"/>
    <s v="Twitter"/>
    <d v="2025-04-24T00:00:00"/>
    <s v="Video"/>
    <n v="3820"/>
    <n v="697"/>
    <n v="268"/>
    <n v="45840"/>
    <n v="45631"/>
    <n v="171"/>
    <x v="2"/>
    <s v="SustainabilityDrive"/>
    <n v="0.1043848167539267"/>
  </r>
  <r>
    <x v="204"/>
    <s v="Twitter"/>
    <d v="2025-04-24T00:00:00"/>
    <s v="Video"/>
    <n v="3820"/>
    <n v="697"/>
    <n v="268"/>
    <n v="45840"/>
    <n v="45631"/>
    <n v="171"/>
    <x v="5"/>
    <s v="SustainabilityDrive"/>
    <n v="0.1043848167539267"/>
  </r>
  <r>
    <x v="205"/>
    <s v="Twitter"/>
    <d v="2024-06-24T00:00:00"/>
    <s v="Text"/>
    <n v="941"/>
    <n v="121"/>
    <n v="458"/>
    <n v="14115"/>
    <n v="13838"/>
    <n v="87"/>
    <x v="4"/>
    <s v="CybertruckLaunch"/>
    <n v="0.10768685795253276"/>
  </r>
  <r>
    <x v="206"/>
    <s v="Twitter"/>
    <d v="2024-12-29T00:00:00"/>
    <s v="Carousel"/>
    <n v="4274"/>
    <n v="340"/>
    <n v="281"/>
    <n v="34192"/>
    <n v="33446"/>
    <n v="129"/>
    <x v="2"/>
    <s v="FSDUpdate"/>
    <n v="0.14316214319138981"/>
  </r>
  <r>
    <x v="206"/>
    <s v="Twitter"/>
    <d v="2024-12-29T00:00:00"/>
    <s v="Carousel"/>
    <n v="4274"/>
    <n v="340"/>
    <n v="281"/>
    <n v="34192"/>
    <n v="33446"/>
    <n v="129"/>
    <x v="5"/>
    <s v="FSDUpdate"/>
    <n v="0.14316214319138981"/>
  </r>
  <r>
    <x v="207"/>
    <s v="YouTube"/>
    <d v="2024-06-24T00:00:00"/>
    <s v="Video"/>
    <n v="2949"/>
    <n v="476"/>
    <n v="403"/>
    <n v="44235"/>
    <n v="43705"/>
    <n v="135"/>
    <x v="2"/>
    <s v="ModelYCampaign"/>
    <n v="8.6537809426924378E-2"/>
  </r>
  <r>
    <x v="208"/>
    <s v="Twitter"/>
    <d v="2025-03-19T00:00:00"/>
    <s v="Video"/>
    <n v="3160"/>
    <n v="204"/>
    <n v="297"/>
    <n v="44240"/>
    <n v="43666"/>
    <n v="49"/>
    <x v="0"/>
    <s v="SustainabilityDrive"/>
    <n v="8.2753164556962022E-2"/>
  </r>
  <r>
    <x v="208"/>
    <s v="Twitter"/>
    <d v="2025-03-19T00:00:00"/>
    <s v="Video"/>
    <n v="3160"/>
    <n v="204"/>
    <n v="297"/>
    <n v="44240"/>
    <n v="43666"/>
    <n v="49"/>
    <x v="1"/>
    <s v="SustainabilityDrive"/>
    <n v="8.2753164556962022E-2"/>
  </r>
  <r>
    <x v="209"/>
    <s v="YouTube"/>
    <d v="2025-02-19T00:00:00"/>
    <s v="Image"/>
    <n v="257"/>
    <n v="966"/>
    <n v="398"/>
    <n v="3341"/>
    <n v="2753"/>
    <n v="287"/>
    <x v="0"/>
    <s v="CybertruckLaunch"/>
    <n v="0.48518407662376534"/>
  </r>
  <r>
    <x v="210"/>
    <s v="Twitter"/>
    <d v="2024-07-18T00:00:00"/>
    <s v="Carousel"/>
    <n v="2120"/>
    <n v="38"/>
    <n v="212"/>
    <n v="12720"/>
    <n v="12564"/>
    <n v="21"/>
    <x v="0"/>
    <s v="SustainabilityDrive"/>
    <n v="0.18632075471698112"/>
  </r>
  <r>
    <x v="211"/>
    <s v="YouTube"/>
    <d v="2025-03-03T00:00:00"/>
    <s v="Video"/>
    <n v="3874"/>
    <n v="884"/>
    <n v="19"/>
    <n v="38740"/>
    <n v="38552"/>
    <n v="219"/>
    <x v="2"/>
    <s v="ModelYCampaign"/>
    <n v="0.123309241094476"/>
  </r>
  <r>
    <x v="212"/>
    <s v="Facebook"/>
    <d v="2025-05-01T00:00:00"/>
    <s v="Carousel"/>
    <n v="2696"/>
    <n v="628"/>
    <n v="443"/>
    <n v="45832"/>
    <n v="45632"/>
    <n v="248"/>
    <x v="4"/>
    <s v="SustainabilityDrive"/>
    <n v="8.21914819340199E-2"/>
  </r>
  <r>
    <x v="213"/>
    <s v="Instagram"/>
    <d v="2024-12-23T00:00:00"/>
    <s v="Image"/>
    <n v="521"/>
    <n v="746"/>
    <n v="315"/>
    <n v="4168"/>
    <n v="3399"/>
    <n v="282"/>
    <x v="0"/>
    <s v="ModelYCampaign"/>
    <n v="0.37955854126679461"/>
  </r>
  <r>
    <x v="214"/>
    <s v="Facebook"/>
    <d v="2025-05-06T00:00:00"/>
    <s v="Image"/>
    <n v="4872"/>
    <n v="925"/>
    <n v="176"/>
    <n v="82824"/>
    <n v="82543"/>
    <n v="89"/>
    <x v="4"/>
    <s v="ModelYCampaign"/>
    <n v="7.2116777745580993E-2"/>
  </r>
  <r>
    <x v="215"/>
    <s v="YouTube"/>
    <d v="2024-07-29T00:00:00"/>
    <s v="Story"/>
    <n v="1509"/>
    <n v="88"/>
    <n v="163"/>
    <n v="30180"/>
    <n v="29689"/>
    <n v="119"/>
    <x v="4"/>
    <s v="ModelYCampaign"/>
    <n v="5.8316766070245198E-2"/>
  </r>
  <r>
    <x v="216"/>
    <s v="Facebook"/>
    <d v="2024-12-03T00:00:00"/>
    <s v="Image"/>
    <n v="4606"/>
    <n v="931"/>
    <n v="230"/>
    <n v="92120"/>
    <n v="91440"/>
    <n v="56"/>
    <x v="2"/>
    <s v="Other"/>
    <n v="6.2603126356925748E-2"/>
  </r>
  <r>
    <x v="217"/>
    <s v="Facebook"/>
    <d v="2024-06-11T00:00:00"/>
    <s v="Carousel"/>
    <n v="1869"/>
    <n v="453"/>
    <n v="490"/>
    <n v="14952"/>
    <n v="14309"/>
    <n v="275"/>
    <x v="2"/>
    <s v="SustainabilityDrive"/>
    <n v="0.18806848582129479"/>
  </r>
  <r>
    <x v="218"/>
    <s v="Twitter"/>
    <d v="2025-01-28T00:00:00"/>
    <s v="Reel"/>
    <n v="1188"/>
    <n v="470"/>
    <n v="174"/>
    <n v="7128"/>
    <n v="6145"/>
    <n v="270"/>
    <x v="2"/>
    <s v="SustainabilityDrive"/>
    <n v="0.25701459034792368"/>
  </r>
  <r>
    <x v="219"/>
    <s v="Instagram"/>
    <d v="2024-06-02T00:00:00"/>
    <s v="Story"/>
    <n v="84"/>
    <n v="897"/>
    <n v="85"/>
    <n v="588"/>
    <n v="8"/>
    <n v="12"/>
    <x v="4"/>
    <s v="Other"/>
    <n v="1.8129251700680271"/>
  </r>
  <r>
    <x v="220"/>
    <s v="Facebook"/>
    <d v="2025-03-23T00:00:00"/>
    <s v="Video"/>
    <n v="4453"/>
    <n v="111"/>
    <n v="420"/>
    <n v="31171"/>
    <n v="30565"/>
    <n v="23"/>
    <x v="2"/>
    <s v="Other"/>
    <n v="0.15989220750056141"/>
  </r>
  <r>
    <x v="221"/>
    <s v="Facebook"/>
    <d v="2024-10-08T00:00:00"/>
    <s v="Reel"/>
    <n v="1814"/>
    <n v="653"/>
    <n v="363"/>
    <n v="25396"/>
    <n v="25286"/>
    <n v="39"/>
    <x v="0"/>
    <s v="CybertruckLaunch"/>
    <n v="0.11143487163332808"/>
  </r>
  <r>
    <x v="221"/>
    <s v="Facebook"/>
    <d v="2024-10-08T00:00:00"/>
    <s v="Reel"/>
    <n v="1814"/>
    <n v="653"/>
    <n v="363"/>
    <n v="25396"/>
    <n v="25286"/>
    <n v="39"/>
    <x v="5"/>
    <s v="CybertruckLaunch"/>
    <n v="0.11143487163332808"/>
  </r>
  <r>
    <x v="222"/>
    <s v="Twitter"/>
    <d v="2024-11-12T00:00:00"/>
    <s v="Image"/>
    <n v="3338"/>
    <n v="277"/>
    <n v="118"/>
    <n v="60084"/>
    <n v="59842"/>
    <n v="252"/>
    <x v="2"/>
    <s v="Other"/>
    <n v="6.2129685107516146E-2"/>
  </r>
  <r>
    <x v="223"/>
    <s v="Facebook"/>
    <d v="2025-05-13T00:00:00"/>
    <s v="Image"/>
    <n v="602"/>
    <n v="594"/>
    <n v="156"/>
    <n v="4214"/>
    <n v="3363"/>
    <n v="164"/>
    <x v="2"/>
    <s v="FSDUpdate"/>
    <n v="0.32083531086853345"/>
  </r>
  <r>
    <x v="224"/>
    <s v="Twitter"/>
    <d v="2024-06-20T00:00:00"/>
    <s v="Carousel"/>
    <n v="4672"/>
    <n v="325"/>
    <n v="32"/>
    <n v="88768"/>
    <n v="87833"/>
    <n v="118"/>
    <x v="4"/>
    <s v="Other"/>
    <n v="5.6653298485940883E-2"/>
  </r>
  <r>
    <x v="225"/>
    <s v="Instagram"/>
    <d v="2024-08-07T00:00:00"/>
    <s v="Carousel"/>
    <n v="1741"/>
    <n v="164"/>
    <n v="318"/>
    <n v="8705"/>
    <n v="8272"/>
    <n v="121"/>
    <x v="2"/>
    <s v="Other"/>
    <n v="0.25537047673750718"/>
  </r>
  <r>
    <x v="226"/>
    <s v="Instagram"/>
    <d v="2024-06-12T00:00:00"/>
    <s v="Text"/>
    <n v="246"/>
    <n v="149"/>
    <n v="130"/>
    <n v="4674"/>
    <n v="4390"/>
    <n v="217"/>
    <x v="0"/>
    <s v="FSDUpdate"/>
    <n v="0.11232349165596919"/>
  </r>
  <r>
    <x v="227"/>
    <s v="Instagram"/>
    <d v="2024-07-01T00:00:00"/>
    <s v="Story"/>
    <n v="4808"/>
    <n v="772"/>
    <n v="320"/>
    <n v="72120"/>
    <n v="71696"/>
    <n v="195"/>
    <x v="4"/>
    <s v="CybertruckLaunch"/>
    <n v="8.1808097615085965E-2"/>
  </r>
  <r>
    <x v="228"/>
    <s v="Instagram"/>
    <d v="2024-07-03T00:00:00"/>
    <s v="Carousel"/>
    <n v="4799"/>
    <n v="694"/>
    <n v="289"/>
    <n v="43191"/>
    <n v="42228"/>
    <n v="118"/>
    <x v="2"/>
    <s v="Other"/>
    <n v="0.13387048227640017"/>
  </r>
  <r>
    <x v="229"/>
    <s v="Facebook"/>
    <d v="2024-07-15T00:00:00"/>
    <s v="Reel"/>
    <n v="3663"/>
    <n v="17"/>
    <n v="295"/>
    <n v="51282"/>
    <n v="50567"/>
    <n v="84"/>
    <x v="4"/>
    <s v="FSDUpdate"/>
    <n v="7.7512577512577507E-2"/>
  </r>
  <r>
    <x v="230"/>
    <s v="Instagram"/>
    <d v="2025-05-01T00:00:00"/>
    <s v="Text"/>
    <n v="1430"/>
    <n v="376"/>
    <n v="33"/>
    <n v="21450"/>
    <n v="20509"/>
    <n v="251"/>
    <x v="0"/>
    <s v="CybertruckLaunch"/>
    <n v="8.5734265734265722E-2"/>
  </r>
  <r>
    <x v="231"/>
    <s v="Twitter"/>
    <d v="2025-04-29T00:00:00"/>
    <s v="Story"/>
    <n v="249"/>
    <n v="592"/>
    <n v="230"/>
    <n v="1494"/>
    <n v="1044"/>
    <n v="201"/>
    <x v="4"/>
    <s v="SustainabilityDrive"/>
    <n v="0.7168674698795181"/>
  </r>
  <r>
    <x v="232"/>
    <s v="Facebook"/>
    <d v="2025-03-08T00:00:00"/>
    <s v="Image"/>
    <n v="2382"/>
    <n v="265"/>
    <n v="134"/>
    <n v="38112"/>
    <n v="37437"/>
    <n v="249"/>
    <x v="0"/>
    <s v="SustainabilityDrive"/>
    <n v="7.2969143576826198E-2"/>
  </r>
  <r>
    <x v="233"/>
    <s v="Facebook"/>
    <d v="2024-06-01T00:00:00"/>
    <s v="Text"/>
    <n v="1272"/>
    <n v="465"/>
    <n v="99"/>
    <n v="24168"/>
    <n v="23719"/>
    <n v="42"/>
    <x v="2"/>
    <s v="Other"/>
    <n v="7.5968222442899719E-2"/>
  </r>
  <r>
    <x v="234"/>
    <s v="Facebook"/>
    <d v="2024-12-22T00:00:00"/>
    <s v="Image"/>
    <n v="3196"/>
    <n v="941"/>
    <n v="376"/>
    <n v="35156"/>
    <n v="34444"/>
    <n v="241"/>
    <x v="2"/>
    <s v="FSDUpdate"/>
    <n v="0.1283706906360223"/>
  </r>
  <r>
    <x v="235"/>
    <s v="Facebook"/>
    <d v="2024-08-19T00:00:00"/>
    <s v="Text"/>
    <n v="1257"/>
    <n v="19"/>
    <n v="351"/>
    <n v="12570"/>
    <n v="11660"/>
    <n v="194"/>
    <x v="0"/>
    <s v="ModelYCampaign"/>
    <n v="0.12943516308671441"/>
  </r>
  <r>
    <x v="235"/>
    <s v="Facebook"/>
    <d v="2024-08-19T00:00:00"/>
    <s v="Text"/>
    <n v="1257"/>
    <n v="19"/>
    <n v="351"/>
    <n v="12570"/>
    <n v="11660"/>
    <n v="194"/>
    <x v="1"/>
    <s v="ModelYCampaign"/>
    <n v="0.12943516308671441"/>
  </r>
  <r>
    <x v="235"/>
    <s v="Facebook"/>
    <d v="2024-08-19T00:00:00"/>
    <s v="Text"/>
    <n v="1257"/>
    <n v="19"/>
    <n v="351"/>
    <n v="12570"/>
    <n v="11660"/>
    <n v="194"/>
    <x v="4"/>
    <s v="ModelYCampaign"/>
    <n v="0.12943516308671441"/>
  </r>
  <r>
    <x v="236"/>
    <s v="Instagram"/>
    <d v="2024-10-22T00:00:00"/>
    <s v="Story"/>
    <n v="3770"/>
    <n v="917"/>
    <n v="129"/>
    <n v="71630"/>
    <n v="71322"/>
    <n v="76"/>
    <x v="0"/>
    <s v="CybertruckLaunch"/>
    <n v="6.7234398994834563E-2"/>
  </r>
  <r>
    <x v="237"/>
    <s v="Twitter"/>
    <d v="2024-07-16T00:00:00"/>
    <s v="Text"/>
    <n v="4725"/>
    <n v="400"/>
    <n v="362"/>
    <n v="75600"/>
    <n v="74927"/>
    <n v="43"/>
    <x v="0"/>
    <s v="SustainabilityDrive"/>
    <n v="7.2579365079365077E-2"/>
  </r>
  <r>
    <x v="238"/>
    <s v="YouTube"/>
    <d v="2025-02-24T00:00:00"/>
    <s v="Text"/>
    <n v="4188"/>
    <n v="942"/>
    <n v="118"/>
    <n v="20940"/>
    <n v="20471"/>
    <n v="102"/>
    <x v="0"/>
    <s v="Other"/>
    <n v="0.25062082139446035"/>
  </r>
  <r>
    <x v="239"/>
    <s v="Twitter"/>
    <d v="2024-08-26T00:00:00"/>
    <s v="Carousel"/>
    <n v="929"/>
    <n v="192"/>
    <n v="322"/>
    <n v="16722"/>
    <n v="15996"/>
    <n v="145"/>
    <x v="4"/>
    <s v="FSDUpdate"/>
    <n v="8.6293505561535699E-2"/>
  </r>
  <r>
    <x v="239"/>
    <s v="Twitter"/>
    <d v="2024-08-26T00:00:00"/>
    <s v="Carousel"/>
    <n v="929"/>
    <n v="192"/>
    <n v="322"/>
    <n v="16722"/>
    <n v="15996"/>
    <n v="145"/>
    <x v="2"/>
    <s v="FSDUpdate"/>
    <n v="8.6293505561535699E-2"/>
  </r>
  <r>
    <x v="239"/>
    <s v="Twitter"/>
    <d v="2024-08-26T00:00:00"/>
    <s v="Carousel"/>
    <n v="929"/>
    <n v="192"/>
    <n v="322"/>
    <n v="16722"/>
    <n v="15996"/>
    <n v="145"/>
    <x v="1"/>
    <s v="FSDUpdate"/>
    <n v="8.6293505561535699E-2"/>
  </r>
  <r>
    <x v="240"/>
    <s v="Facebook"/>
    <d v="2025-01-18T00:00:00"/>
    <s v="Story"/>
    <n v="4321"/>
    <n v="874"/>
    <n v="172"/>
    <n v="30247"/>
    <n v="29254"/>
    <n v="122"/>
    <x v="2"/>
    <s v="SustainabilityDrive"/>
    <n v="0.17743908486792079"/>
  </r>
  <r>
    <x v="241"/>
    <s v="Facebook"/>
    <d v="2024-07-07T00:00:00"/>
    <s v="Reel"/>
    <n v="4767"/>
    <n v="190"/>
    <n v="340"/>
    <n v="28602"/>
    <n v="28044"/>
    <n v="210"/>
    <x v="4"/>
    <s v="FSDUpdate"/>
    <n v="0.18519683938186141"/>
  </r>
  <r>
    <x v="242"/>
    <s v="Twitter"/>
    <d v="2025-03-06T00:00:00"/>
    <s v="Image"/>
    <n v="3592"/>
    <n v="911"/>
    <n v="375"/>
    <n v="50288"/>
    <n v="49490"/>
    <n v="32"/>
    <x v="0"/>
    <s v="SustainabilityDrive"/>
    <n v="9.7001272669424113E-2"/>
  </r>
  <r>
    <x v="243"/>
    <s v="YouTube"/>
    <d v="2024-10-25T00:00:00"/>
    <s v="Video"/>
    <n v="4661"/>
    <n v="935"/>
    <n v="433"/>
    <n v="23305"/>
    <n v="22583"/>
    <n v="63"/>
    <x v="0"/>
    <s v="FSDUpdate"/>
    <n v="0.25869984981763572"/>
  </r>
  <r>
    <x v="244"/>
    <s v="Facebook"/>
    <d v="2025-01-12T00:00:00"/>
    <s v="Reel"/>
    <n v="4134"/>
    <n v="824"/>
    <n v="99"/>
    <n v="41340"/>
    <n v="41050"/>
    <n v="177"/>
    <x v="4"/>
    <s v="CybertruckLaunch"/>
    <n v="0.12232704402515723"/>
  </r>
  <r>
    <x v="245"/>
    <s v="Facebook"/>
    <d v="2024-10-11T00:00:00"/>
    <s v="Image"/>
    <n v="400"/>
    <n v="680"/>
    <n v="434"/>
    <n v="6400"/>
    <n v="5472"/>
    <n v="160"/>
    <x v="0"/>
    <s v="ModelYCampaign"/>
    <n v="0.23656250000000001"/>
  </r>
  <r>
    <x v="246"/>
    <s v="Facebook"/>
    <d v="2024-08-27T00:00:00"/>
    <s v="Reel"/>
    <n v="3960"/>
    <n v="266"/>
    <n v="8"/>
    <n v="35640"/>
    <n v="34850"/>
    <n v="208"/>
    <x v="0"/>
    <s v="Other"/>
    <n v="0.11879910213243548"/>
  </r>
  <r>
    <x v="246"/>
    <s v="Facebook"/>
    <d v="2024-08-27T00:00:00"/>
    <s v="Reel"/>
    <n v="3960"/>
    <n v="266"/>
    <n v="8"/>
    <n v="35640"/>
    <n v="34850"/>
    <n v="208"/>
    <x v="4"/>
    <s v="Other"/>
    <n v="0.11879910213243548"/>
  </r>
  <r>
    <x v="246"/>
    <s v="Facebook"/>
    <d v="2024-08-27T00:00:00"/>
    <s v="Reel"/>
    <n v="3960"/>
    <n v="266"/>
    <n v="8"/>
    <n v="35640"/>
    <n v="34850"/>
    <n v="208"/>
    <x v="3"/>
    <s v="Other"/>
    <n v="0.11879910213243548"/>
  </r>
  <r>
    <x v="247"/>
    <s v="Facebook"/>
    <d v="2025-02-02T00:00:00"/>
    <s v="Story"/>
    <n v="886"/>
    <n v="126"/>
    <n v="153"/>
    <n v="4430"/>
    <n v="4037"/>
    <n v="212"/>
    <x v="4"/>
    <s v="Other"/>
    <n v="0.26297968397291194"/>
  </r>
  <r>
    <x v="248"/>
    <s v="Twitter"/>
    <d v="2024-07-18T00:00:00"/>
    <s v="Image"/>
    <n v="827"/>
    <n v="77"/>
    <n v="402"/>
    <n v="14886"/>
    <n v="14129"/>
    <n v="254"/>
    <x v="4"/>
    <s v="ModelYCampaign"/>
    <n v="8.7733440816874911E-2"/>
  </r>
  <r>
    <x v="249"/>
    <s v="Facebook"/>
    <d v="2024-06-22T00:00:00"/>
    <s v="Reel"/>
    <n v="3813"/>
    <n v="935"/>
    <n v="274"/>
    <n v="68634"/>
    <n v="68488"/>
    <n v="251"/>
    <x v="0"/>
    <s v="Other"/>
    <n v="7.3170731707317069E-2"/>
  </r>
  <r>
    <x v="250"/>
    <s v="Instagram"/>
    <d v="2025-03-27T00:00:00"/>
    <s v="Carousel"/>
    <n v="1377"/>
    <n v="796"/>
    <n v="387"/>
    <n v="22032"/>
    <n v="21869"/>
    <n v="189"/>
    <x v="0"/>
    <s v="Other"/>
    <n v="0.11619462599854756"/>
  </r>
  <r>
    <x v="251"/>
    <s v="Facebook"/>
    <d v="2025-04-28T00:00:00"/>
    <s v="Carousel"/>
    <n v="2089"/>
    <n v="476"/>
    <n v="69"/>
    <n v="16712"/>
    <n v="16309"/>
    <n v="64"/>
    <x v="0"/>
    <s v="FSDUpdate"/>
    <n v="0.15761129727142173"/>
  </r>
  <r>
    <x v="252"/>
    <s v="Twitter"/>
    <d v="2024-08-03T00:00:00"/>
    <s v="Reel"/>
    <n v="3791"/>
    <n v="593"/>
    <n v="228"/>
    <n v="53074"/>
    <n v="52613"/>
    <n v="205"/>
    <x v="4"/>
    <s v="Other"/>
    <n v="8.6897539284772202E-2"/>
  </r>
  <r>
    <x v="253"/>
    <s v="Twitter"/>
    <d v="2025-01-14T00:00:00"/>
    <s v="Image"/>
    <n v="2692"/>
    <n v="115"/>
    <n v="64"/>
    <n v="21536"/>
    <n v="21120"/>
    <n v="224"/>
    <x v="0"/>
    <s v="ModelYCampaign"/>
    <n v="0.13331166419019316"/>
  </r>
  <r>
    <x v="254"/>
    <s v="Facebook"/>
    <d v="2025-04-03T00:00:00"/>
    <s v="Story"/>
    <n v="3767"/>
    <n v="514"/>
    <n v="238"/>
    <n v="37670"/>
    <n v="36807"/>
    <n v="226"/>
    <x v="0"/>
    <s v="SustainabilityDrive"/>
    <n v="0.11996283514733208"/>
  </r>
  <r>
    <x v="255"/>
    <s v="YouTube"/>
    <d v="2024-09-18T00:00:00"/>
    <s v="Carousel"/>
    <n v="2143"/>
    <n v="12"/>
    <n v="204"/>
    <n v="40717"/>
    <n v="40125"/>
    <n v="248"/>
    <x v="4"/>
    <s v="ModelYCampaign"/>
    <n v="5.7936488444630008E-2"/>
  </r>
  <r>
    <x v="256"/>
    <s v="Facebook"/>
    <d v="2025-04-06T00:00:00"/>
    <s v="Image"/>
    <n v="3090"/>
    <n v="697"/>
    <n v="164"/>
    <n v="49440"/>
    <n v="48524"/>
    <n v="25"/>
    <x v="4"/>
    <s v="ModelYCampaign"/>
    <n v="7.9915048543689318E-2"/>
  </r>
  <r>
    <x v="256"/>
    <s v="Facebook"/>
    <d v="2025-04-06T00:00:00"/>
    <s v="Image"/>
    <n v="3090"/>
    <n v="697"/>
    <n v="164"/>
    <n v="49440"/>
    <n v="48524"/>
    <n v="25"/>
    <x v="4"/>
    <s v="ModelYCampaign"/>
    <n v="7.9915048543689318E-2"/>
  </r>
  <r>
    <x v="256"/>
    <s v="Facebook"/>
    <d v="2025-04-06T00:00:00"/>
    <s v="Image"/>
    <n v="3090"/>
    <n v="697"/>
    <n v="164"/>
    <n v="49440"/>
    <n v="48524"/>
    <n v="25"/>
    <x v="3"/>
    <s v="ModelYCampaign"/>
    <n v="7.9915048543689318E-2"/>
  </r>
  <r>
    <x v="257"/>
    <s v="Instagram"/>
    <d v="2024-08-05T00:00:00"/>
    <s v="Story"/>
    <n v="3601"/>
    <n v="695"/>
    <n v="75"/>
    <n v="21606"/>
    <n v="21454"/>
    <n v="172"/>
    <x v="4"/>
    <s v="ModelYCampaign"/>
    <n v="0.2023049153013052"/>
  </r>
  <r>
    <x v="258"/>
    <s v="Facebook"/>
    <d v="2025-02-10T00:00:00"/>
    <s v="Text"/>
    <n v="562"/>
    <n v="158"/>
    <n v="149"/>
    <n v="3372"/>
    <n v="2940"/>
    <n v="93"/>
    <x v="2"/>
    <s v="CybertruckLaunch"/>
    <n v="0.25771055753262156"/>
  </r>
  <r>
    <x v="259"/>
    <s v="Instagram"/>
    <d v="2025-02-12T00:00:00"/>
    <s v="Story"/>
    <n v="4332"/>
    <n v="771"/>
    <n v="219"/>
    <n v="60648"/>
    <n v="60397"/>
    <n v="10"/>
    <x v="2"/>
    <s v="FSDUpdate"/>
    <n v="8.7752275425405618E-2"/>
  </r>
  <r>
    <x v="259"/>
    <s v="Instagram"/>
    <d v="2025-02-12T00:00:00"/>
    <s v="Story"/>
    <n v="4332"/>
    <n v="771"/>
    <n v="219"/>
    <n v="60648"/>
    <n v="60397"/>
    <n v="10"/>
    <x v="4"/>
    <s v="FSDUpdate"/>
    <n v="8.7752275425405618E-2"/>
  </r>
  <r>
    <x v="259"/>
    <s v="Instagram"/>
    <d v="2025-02-12T00:00:00"/>
    <s v="Story"/>
    <n v="4332"/>
    <n v="771"/>
    <n v="219"/>
    <n v="60648"/>
    <n v="60397"/>
    <n v="10"/>
    <x v="3"/>
    <s v="FSDUpdate"/>
    <n v="8.7752275425405618E-2"/>
  </r>
  <r>
    <x v="260"/>
    <s v="Instagram"/>
    <d v="2024-10-27T00:00:00"/>
    <s v="Image"/>
    <n v="4853"/>
    <n v="837"/>
    <n v="340"/>
    <n v="72795"/>
    <n v="72237"/>
    <n v="170"/>
    <x v="4"/>
    <s v="CybertruckLaunch"/>
    <n v="8.2835359571399134E-2"/>
  </r>
  <r>
    <x v="261"/>
    <s v="YouTube"/>
    <d v="2025-01-18T00:00:00"/>
    <s v="Image"/>
    <n v="1206"/>
    <n v="238"/>
    <n v="36"/>
    <n v="9648"/>
    <n v="9417"/>
    <n v="237"/>
    <x v="2"/>
    <s v="Other"/>
    <n v="0.15339966832504143"/>
  </r>
  <r>
    <x v="262"/>
    <s v="Instagram"/>
    <d v="2024-08-20T00:00:00"/>
    <s v="Reel"/>
    <n v="2603"/>
    <n v="690"/>
    <n v="205"/>
    <n v="13015"/>
    <n v="12130"/>
    <n v="20"/>
    <x v="0"/>
    <s v="ModelYCampaign"/>
    <n v="0.26876680752977333"/>
  </r>
  <r>
    <x v="263"/>
    <s v="Twitter"/>
    <d v="2025-01-30T00:00:00"/>
    <s v="Image"/>
    <n v="59"/>
    <n v="163"/>
    <n v="93"/>
    <n v="590"/>
    <n v="475"/>
    <n v="293"/>
    <x v="2"/>
    <s v="ModelYCampaign"/>
    <n v="0.53389830508474578"/>
  </r>
  <r>
    <x v="264"/>
    <s v="Twitter"/>
    <d v="2025-02-20T00:00:00"/>
    <s v="Carousel"/>
    <n v="1877"/>
    <n v="745"/>
    <n v="225"/>
    <n v="11262"/>
    <n v="10967"/>
    <n v="41"/>
    <x v="4"/>
    <s v="SustainabilityDrive"/>
    <n v="0.25279701651571657"/>
  </r>
  <r>
    <x v="265"/>
    <s v="Facebook"/>
    <d v="2024-11-25T00:00:00"/>
    <s v="Story"/>
    <n v="4182"/>
    <n v="640"/>
    <n v="240"/>
    <n v="50184"/>
    <n v="49351"/>
    <n v="10"/>
    <x v="2"/>
    <s v="FSDUpdate"/>
    <n v="0.10086880280567512"/>
  </r>
  <r>
    <x v="266"/>
    <s v="Twitter"/>
    <d v="2024-10-04T00:00:00"/>
    <s v="Reel"/>
    <n v="4187"/>
    <n v="66"/>
    <n v="31"/>
    <n v="66992"/>
    <n v="66614"/>
    <n v="62"/>
    <x v="0"/>
    <s v="Other"/>
    <n v="6.3947934081681396E-2"/>
  </r>
  <r>
    <x v="267"/>
    <s v="Instagram"/>
    <d v="2025-04-13T00:00:00"/>
    <s v="Reel"/>
    <n v="4579"/>
    <n v="125"/>
    <n v="300"/>
    <n v="59527"/>
    <n v="59400"/>
    <n v="269"/>
    <x v="4"/>
    <s v="CybertruckLaunch"/>
    <n v="8.4062694239588759E-2"/>
  </r>
  <r>
    <x v="268"/>
    <s v="Instagram"/>
    <d v="2024-11-05T00:00:00"/>
    <s v="Video"/>
    <n v="4561"/>
    <n v="51"/>
    <n v="441"/>
    <n v="22805"/>
    <n v="21890"/>
    <n v="45"/>
    <x v="2"/>
    <s v="ModelYCampaign"/>
    <n v="0.22157421618066217"/>
  </r>
  <r>
    <x v="269"/>
    <s v="YouTube"/>
    <d v="2025-01-15T00:00:00"/>
    <s v="Reel"/>
    <n v="3774"/>
    <n v="239"/>
    <n v="39"/>
    <n v="60384"/>
    <n v="59490"/>
    <n v="241"/>
    <x v="2"/>
    <s v="FSDUpdate"/>
    <n v="6.7103868574456813E-2"/>
  </r>
  <r>
    <x v="270"/>
    <s v="Instagram"/>
    <d v="2024-10-17T00:00:00"/>
    <s v="Video"/>
    <n v="3575"/>
    <n v="749"/>
    <n v="111"/>
    <n v="21450"/>
    <n v="20785"/>
    <n v="195"/>
    <x v="4"/>
    <s v="ModelYCampaign"/>
    <n v="0.20675990675990677"/>
  </r>
  <r>
    <x v="271"/>
    <s v="Instagram"/>
    <d v="2025-03-27T00:00:00"/>
    <s v="Text"/>
    <n v="4941"/>
    <n v="414"/>
    <n v="266"/>
    <n v="39528"/>
    <n v="39154"/>
    <n v="217"/>
    <x v="2"/>
    <s v="FSDUpdate"/>
    <n v="0.14220299534507186"/>
  </r>
  <r>
    <x v="272"/>
    <s v="YouTube"/>
    <d v="2024-10-12T00:00:00"/>
    <s v="Story"/>
    <n v="3641"/>
    <n v="226"/>
    <n v="46"/>
    <n v="40051"/>
    <n v="39319"/>
    <n v="296"/>
    <x v="4"/>
    <s v="SustainabilityDrive"/>
    <n v="9.7700431949264685E-2"/>
  </r>
  <r>
    <x v="273"/>
    <s v="Twitter"/>
    <d v="2025-01-01T00:00:00"/>
    <s v="Carousel"/>
    <n v="3535"/>
    <n v="494"/>
    <n v="152"/>
    <n v="53025"/>
    <n v="52791"/>
    <n v="44"/>
    <x v="2"/>
    <s v="SustainabilityDrive"/>
    <n v="7.8849599245638849E-2"/>
  </r>
  <r>
    <x v="274"/>
    <s v="Facebook"/>
    <d v="2024-08-05T00:00:00"/>
    <s v="Reel"/>
    <n v="1741"/>
    <n v="831"/>
    <n v="345"/>
    <n v="17410"/>
    <n v="16844"/>
    <n v="58"/>
    <x v="4"/>
    <s v="FSDUpdate"/>
    <n v="0.16754738655944859"/>
  </r>
  <r>
    <x v="275"/>
    <s v="Twitter"/>
    <d v="2024-06-07T00:00:00"/>
    <s v="Carousel"/>
    <n v="1556"/>
    <n v="195"/>
    <n v="131"/>
    <n v="9336"/>
    <n v="8875"/>
    <n v="137"/>
    <x v="2"/>
    <s v="ModelYCampaign"/>
    <n v="0.2015852613538989"/>
  </r>
  <r>
    <x v="276"/>
    <s v="Facebook"/>
    <d v="2025-04-06T00:00:00"/>
    <s v="Image"/>
    <n v="4236"/>
    <n v="711"/>
    <n v="298"/>
    <n v="21180"/>
    <n v="20516"/>
    <n v="238"/>
    <x v="0"/>
    <s v="CybertruckLaunch"/>
    <n v="0.24763928234183191"/>
  </r>
  <r>
    <x v="277"/>
    <s v="Twitter"/>
    <d v="2024-11-26T00:00:00"/>
    <s v="Text"/>
    <n v="4516"/>
    <n v="836"/>
    <n v="169"/>
    <n v="49676"/>
    <n v="49257"/>
    <n v="282"/>
    <x v="4"/>
    <s v="SustainabilityDrive"/>
    <n v="0.11114018842096789"/>
  </r>
  <r>
    <x v="278"/>
    <s v="YouTube"/>
    <d v="2024-09-02T00:00:00"/>
    <s v="Image"/>
    <n v="4905"/>
    <n v="845"/>
    <n v="129"/>
    <n v="98100"/>
    <n v="97772"/>
    <n v="279"/>
    <x v="2"/>
    <s v="ModelYCampaign"/>
    <n v="5.9928644240570851E-2"/>
  </r>
  <r>
    <x v="279"/>
    <s v="YouTube"/>
    <d v="2024-10-21T00:00:00"/>
    <s v="Video"/>
    <n v="4275"/>
    <n v="680"/>
    <n v="385"/>
    <n v="64125"/>
    <n v="63650"/>
    <n v="104"/>
    <x v="4"/>
    <s v="SustainabilityDrive"/>
    <n v="8.3274853801169585E-2"/>
  </r>
  <r>
    <x v="279"/>
    <s v="YouTube"/>
    <d v="2024-10-21T00:00:00"/>
    <s v="Video"/>
    <n v="4275"/>
    <n v="680"/>
    <n v="385"/>
    <n v="64125"/>
    <n v="63650"/>
    <n v="104"/>
    <x v="2"/>
    <s v="SustainabilityDrive"/>
    <n v="8.3274853801169585E-2"/>
  </r>
  <r>
    <x v="279"/>
    <s v="YouTube"/>
    <d v="2024-10-21T00:00:00"/>
    <s v="Video"/>
    <n v="4275"/>
    <n v="680"/>
    <n v="385"/>
    <n v="64125"/>
    <n v="63650"/>
    <n v="104"/>
    <x v="1"/>
    <s v="SustainabilityDrive"/>
    <n v="8.3274853801169585E-2"/>
  </r>
  <r>
    <x v="280"/>
    <s v="YouTube"/>
    <d v="2025-03-22T00:00:00"/>
    <s v="Image"/>
    <n v="3166"/>
    <n v="90"/>
    <n v="341"/>
    <n v="56988"/>
    <n v="56125"/>
    <n v="135"/>
    <x v="4"/>
    <s v="ModelYCampaign"/>
    <n v="6.3118551273952411E-2"/>
  </r>
  <r>
    <x v="281"/>
    <s v="Instagram"/>
    <d v="2024-10-03T00:00:00"/>
    <s v="Video"/>
    <n v="1488"/>
    <n v="417"/>
    <n v="168"/>
    <n v="19344"/>
    <n v="18395"/>
    <n v="30"/>
    <x v="0"/>
    <s v="FSDUpdate"/>
    <n v="0.1071650124069479"/>
  </r>
  <r>
    <x v="282"/>
    <s v="Twitter"/>
    <d v="2025-05-09T00:00:00"/>
    <s v="Reel"/>
    <n v="3367"/>
    <n v="302"/>
    <n v="57"/>
    <n v="63973"/>
    <n v="63789"/>
    <n v="157"/>
    <x v="0"/>
    <s v="ModelYCampaign"/>
    <n v="5.8243321401216137E-2"/>
  </r>
  <r>
    <x v="283"/>
    <s v="Twitter"/>
    <d v="2024-09-17T00:00:00"/>
    <s v="Text"/>
    <n v="571"/>
    <n v="190"/>
    <n v="352"/>
    <n v="9707"/>
    <n v="9418"/>
    <n v="231"/>
    <x v="2"/>
    <s v="SustainabilityDrive"/>
    <n v="0.1146595240548058"/>
  </r>
  <r>
    <x v="284"/>
    <s v="YouTube"/>
    <d v="2024-07-18T00:00:00"/>
    <s v="Text"/>
    <n v="4021"/>
    <n v="794"/>
    <n v="77"/>
    <n v="36189"/>
    <n v="35505"/>
    <n v="174"/>
    <x v="4"/>
    <s v="Other"/>
    <n v="0.13517919809886983"/>
  </r>
  <r>
    <x v="285"/>
    <s v="YouTube"/>
    <d v="2024-09-25T00:00:00"/>
    <s v="Video"/>
    <n v="3389"/>
    <n v="344"/>
    <n v="229"/>
    <n v="20334"/>
    <n v="19443"/>
    <n v="228"/>
    <x v="0"/>
    <s v="FSDUpdate"/>
    <n v="0.19484607062063539"/>
  </r>
  <r>
    <x v="286"/>
    <s v="Instagram"/>
    <d v="2024-08-15T00:00:00"/>
    <s v="Reel"/>
    <n v="1164"/>
    <n v="616"/>
    <n v="324"/>
    <n v="6984"/>
    <n v="6636"/>
    <n v="82"/>
    <x v="4"/>
    <s v="CybertruckLaunch"/>
    <n v="0.30126002290950743"/>
  </r>
  <r>
    <x v="287"/>
    <s v="YouTube"/>
    <d v="2025-04-17T00:00:00"/>
    <s v="Carousel"/>
    <n v="4780"/>
    <n v="691"/>
    <n v="380"/>
    <n v="86040"/>
    <n v="85743"/>
    <n v="262"/>
    <x v="0"/>
    <s v="FSDUpdate"/>
    <n v="6.800325430032543E-2"/>
  </r>
  <r>
    <x v="288"/>
    <s v="Facebook"/>
    <d v="2024-11-28T00:00:00"/>
    <s v="Carousel"/>
    <n v="2751"/>
    <n v="33"/>
    <n v="430"/>
    <n v="44016"/>
    <n v="43415"/>
    <n v="129"/>
    <x v="0"/>
    <s v="Other"/>
    <n v="7.3018902217375503E-2"/>
  </r>
  <r>
    <x v="289"/>
    <s v="Instagram"/>
    <d v="2024-12-20T00:00:00"/>
    <s v="Carousel"/>
    <n v="2107"/>
    <n v="550"/>
    <n v="349"/>
    <n v="35819"/>
    <n v="35340"/>
    <n v="191"/>
    <x v="4"/>
    <s v="SustainabilityDrive"/>
    <n v="8.3921940869371006E-2"/>
  </r>
  <r>
    <x v="290"/>
    <s v="Facebook"/>
    <d v="2024-11-06T00:00:00"/>
    <s v="Video"/>
    <n v="4663"/>
    <n v="145"/>
    <n v="225"/>
    <n v="69945"/>
    <n v="69596"/>
    <n v="35"/>
    <x v="4"/>
    <s v="SustainabilityDrive"/>
    <n v="7.1956537279290869E-2"/>
  </r>
  <r>
    <x v="291"/>
    <s v="Facebook"/>
    <d v="2024-11-17T00:00:00"/>
    <s v="Text"/>
    <n v="880"/>
    <n v="297"/>
    <n v="345"/>
    <n v="12320"/>
    <n v="11978"/>
    <n v="238"/>
    <x v="2"/>
    <s v="Other"/>
    <n v="0.12353896103896105"/>
  </r>
  <r>
    <x v="291"/>
    <s v="Facebook"/>
    <d v="2024-11-17T00:00:00"/>
    <s v="Text"/>
    <n v="880"/>
    <n v="297"/>
    <n v="345"/>
    <n v="12320"/>
    <n v="11978"/>
    <n v="238"/>
    <x v="1"/>
    <s v="Other"/>
    <n v="0.12353896103896105"/>
  </r>
  <r>
    <x v="292"/>
    <s v="Facebook"/>
    <d v="2025-05-14T00:00:00"/>
    <s v="Text"/>
    <n v="2634"/>
    <n v="726"/>
    <n v="241"/>
    <n v="28974"/>
    <n v="28102"/>
    <n v="277"/>
    <x v="4"/>
    <s v="CybertruckLaunch"/>
    <n v="0.12428384068475185"/>
  </r>
  <r>
    <x v="293"/>
    <s v="Facebook"/>
    <d v="2024-06-19T00:00:00"/>
    <s v="Carousel"/>
    <n v="4731"/>
    <n v="173"/>
    <n v="276"/>
    <n v="28386"/>
    <n v="28185"/>
    <n v="89"/>
    <x v="4"/>
    <s v="FSDUpdate"/>
    <n v="0.18248432325794409"/>
  </r>
  <r>
    <x v="294"/>
    <s v="Twitter"/>
    <d v="2025-05-06T00:00:00"/>
    <s v="Image"/>
    <n v="1952"/>
    <n v="344"/>
    <n v="287"/>
    <n v="15616"/>
    <n v="15403"/>
    <n v="235"/>
    <x v="0"/>
    <s v="ModelYCampaign"/>
    <n v="0.16540727459016394"/>
  </r>
  <r>
    <x v="294"/>
    <s v="Twitter"/>
    <d v="2025-05-06T00:00:00"/>
    <s v="Image"/>
    <n v="1952"/>
    <n v="344"/>
    <n v="287"/>
    <n v="15616"/>
    <n v="15403"/>
    <n v="235"/>
    <x v="2"/>
    <s v="ModelYCampaign"/>
    <n v="0.16540727459016394"/>
  </r>
  <r>
    <x v="294"/>
    <s v="Twitter"/>
    <d v="2025-05-06T00:00:00"/>
    <s v="Image"/>
    <n v="1952"/>
    <n v="344"/>
    <n v="287"/>
    <n v="15616"/>
    <n v="15403"/>
    <n v="235"/>
    <x v="1"/>
    <s v="ModelYCampaign"/>
    <n v="0.16540727459016394"/>
  </r>
  <r>
    <x v="295"/>
    <s v="Twitter"/>
    <d v="2025-02-11T00:00:00"/>
    <s v="Video"/>
    <n v="3440"/>
    <n v="13"/>
    <n v="20"/>
    <n v="58480"/>
    <n v="58146"/>
    <n v="210"/>
    <x v="2"/>
    <s v="SustainabilityDrive"/>
    <n v="5.9387824897400819E-2"/>
  </r>
  <r>
    <x v="295"/>
    <s v="Twitter"/>
    <d v="2025-02-11T00:00:00"/>
    <s v="Video"/>
    <n v="3440"/>
    <n v="13"/>
    <n v="20"/>
    <n v="58480"/>
    <n v="58146"/>
    <n v="210"/>
    <x v="5"/>
    <s v="SustainabilityDrive"/>
    <n v="5.9387824897400819E-2"/>
  </r>
  <r>
    <x v="296"/>
    <s v="Twitter"/>
    <d v="2024-12-24T00:00:00"/>
    <s v="Text"/>
    <n v="2166"/>
    <n v="354"/>
    <n v="117"/>
    <n v="10830"/>
    <n v="10245"/>
    <n v="24"/>
    <x v="4"/>
    <s v="SustainabilityDrive"/>
    <n v="0.24349030470914129"/>
  </r>
  <r>
    <x v="297"/>
    <s v="Facebook"/>
    <d v="2024-10-24T00:00:00"/>
    <s v="Image"/>
    <n v="4303"/>
    <n v="451"/>
    <n v="286"/>
    <n v="86060"/>
    <n v="85823"/>
    <n v="14"/>
    <x v="2"/>
    <s v="FSDUpdate"/>
    <n v="5.8563792702765523E-2"/>
  </r>
  <r>
    <x v="298"/>
    <s v="Facebook"/>
    <d v="2024-08-26T00:00:00"/>
    <s v="Image"/>
    <n v="2581"/>
    <n v="517"/>
    <n v="117"/>
    <n v="23229"/>
    <n v="22331"/>
    <n v="70"/>
    <x v="0"/>
    <s v="FSDUpdate"/>
    <n v="0.13840458048129492"/>
  </r>
  <r>
    <x v="299"/>
    <s v="Twitter"/>
    <d v="2024-08-31T00:00:00"/>
    <s v="Carousel"/>
    <n v="4494"/>
    <n v="717"/>
    <n v="45"/>
    <n v="62916"/>
    <n v="62688"/>
    <n v="191"/>
    <x v="2"/>
    <s v="CybertruckLaunch"/>
    <n v="8.3539958039290485E-2"/>
  </r>
  <r>
    <x v="299"/>
    <s v="Twitter"/>
    <d v="2024-08-31T00:00:00"/>
    <s v="Carousel"/>
    <n v="4494"/>
    <n v="717"/>
    <n v="45"/>
    <n v="62916"/>
    <n v="62688"/>
    <n v="191"/>
    <x v="4"/>
    <s v="CybertruckLaunch"/>
    <n v="8.3539958039290485E-2"/>
  </r>
  <r>
    <x v="299"/>
    <s v="Twitter"/>
    <d v="2024-08-31T00:00:00"/>
    <s v="Carousel"/>
    <n v="4494"/>
    <n v="717"/>
    <n v="45"/>
    <n v="62916"/>
    <n v="62688"/>
    <n v="191"/>
    <x v="3"/>
    <s v="CybertruckLaunch"/>
    <n v="8.3539958039290485E-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n v="1461"/>
    <n v="184"/>
    <n v="344"/>
    <n v="21915"/>
    <n v="21675"/>
    <n v="15"/>
    <s v="#FutureOfDriving,#AnytimeIsTeslaTime"/>
    <x v="0"/>
    <n v="9.0759753593429152E-2"/>
    <n v="1989"/>
  </r>
  <r>
    <x v="1"/>
    <x v="0"/>
    <x v="1"/>
    <x v="1"/>
    <n v="4054"/>
    <n v="389"/>
    <n v="493"/>
    <n v="64864"/>
    <n v="64383"/>
    <n v="117"/>
    <s v="#TeslaCoInnovation,#BetterWithTesla"/>
    <x v="1"/>
    <n v="7.6097681302417369E-2"/>
    <n v="4936"/>
  </r>
  <r>
    <x v="2"/>
    <x v="1"/>
    <x v="2"/>
    <x v="0"/>
    <n v="2795"/>
    <n v="105"/>
    <n v="49"/>
    <n v="53105"/>
    <n v="52307"/>
    <n v="204"/>
    <s v="#TeslaCoInnovation"/>
    <x v="2"/>
    <n v="5.5531494209584788E-2"/>
    <n v="2949"/>
  </r>
  <r>
    <x v="3"/>
    <x v="2"/>
    <x v="3"/>
    <x v="2"/>
    <n v="2404"/>
    <n v="363"/>
    <n v="138"/>
    <n v="19232"/>
    <n v="18636"/>
    <n v="128"/>
    <s v="#EVRevolution"/>
    <x v="3"/>
    <n v="0.15105033277870217"/>
    <n v="2905"/>
  </r>
  <r>
    <x v="4"/>
    <x v="1"/>
    <x v="4"/>
    <x v="0"/>
    <n v="3557"/>
    <n v="687"/>
    <n v="424"/>
    <n v="71140"/>
    <n v="70701"/>
    <n v="224"/>
    <s v="#EVRevolution,#TeslaCoInnovation"/>
    <x v="0"/>
    <n v="6.5617093055946027E-2"/>
    <n v="4668"/>
  </r>
  <r>
    <x v="5"/>
    <x v="3"/>
    <x v="5"/>
    <x v="3"/>
    <n v="2945"/>
    <n v="930"/>
    <n v="355"/>
    <n v="23560"/>
    <n v="23275"/>
    <n v="256"/>
    <s v="#TeslaCoInnovation"/>
    <x v="1"/>
    <n v="0.17954159592529711"/>
    <n v="4230"/>
  </r>
  <r>
    <x v="6"/>
    <x v="0"/>
    <x v="6"/>
    <x v="3"/>
    <n v="3860"/>
    <n v="201"/>
    <n v="279"/>
    <n v="61760"/>
    <n v="61660"/>
    <n v="235"/>
    <s v="#TeslaCoInnovation"/>
    <x v="1"/>
    <n v="7.0272020725388601E-2"/>
    <n v="4340"/>
  </r>
  <r>
    <x v="7"/>
    <x v="1"/>
    <x v="7"/>
    <x v="4"/>
    <n v="3929"/>
    <n v="262"/>
    <n v="278"/>
    <n v="43219"/>
    <n v="42841"/>
    <n v="39"/>
    <s v="#EVRevolution"/>
    <x v="3"/>
    <n v="0.10340359564080613"/>
    <n v="4469"/>
  </r>
  <r>
    <x v="8"/>
    <x v="3"/>
    <x v="8"/>
    <x v="1"/>
    <n v="3784"/>
    <n v="808"/>
    <n v="404"/>
    <n v="56760"/>
    <n v="56343"/>
    <n v="131"/>
    <s v="#TeslaCoInnovation"/>
    <x v="1"/>
    <n v="8.8019732205778717E-2"/>
    <n v="4996"/>
  </r>
  <r>
    <x v="9"/>
    <x v="3"/>
    <x v="9"/>
    <x v="4"/>
    <n v="4241"/>
    <n v="902"/>
    <n v="47"/>
    <n v="72097"/>
    <n v="71598"/>
    <n v="167"/>
    <s v="#TeslaCoInnovation"/>
    <x v="1"/>
    <n v="7.198635172059864E-2"/>
    <n v="5190"/>
  </r>
  <r>
    <x v="10"/>
    <x v="2"/>
    <x v="10"/>
    <x v="2"/>
    <n v="1792"/>
    <n v="614"/>
    <n v="497"/>
    <n v="25088"/>
    <n v="24675"/>
    <n v="65"/>
    <s v="#FutureOfDriving"/>
    <x v="3"/>
    <n v="0.11571269132653061"/>
    <n v="2903"/>
  </r>
  <r>
    <x v="11"/>
    <x v="3"/>
    <x v="11"/>
    <x v="0"/>
    <n v="1946"/>
    <n v="686"/>
    <n v="377"/>
    <n v="23352"/>
    <n v="22982"/>
    <n v="213"/>
    <s v="#FutureOfDriving"/>
    <x v="2"/>
    <n v="0.12885405960945528"/>
    <n v="3009"/>
  </r>
  <r>
    <x v="12"/>
    <x v="1"/>
    <x v="12"/>
    <x v="3"/>
    <n v="1171"/>
    <n v="286"/>
    <n v="231"/>
    <n v="22249"/>
    <n v="21282"/>
    <n v="114"/>
    <s v="#EVRevolution"/>
    <x v="0"/>
    <n v="7.5868578363072495E-2"/>
    <n v="1688"/>
  </r>
  <r>
    <x v="13"/>
    <x v="3"/>
    <x v="13"/>
    <x v="2"/>
    <n v="4242"/>
    <n v="555"/>
    <n v="131"/>
    <n v="33936"/>
    <n v="33802"/>
    <n v="265"/>
    <s v="#FutureOfDriving"/>
    <x v="4"/>
    <n v="0.14521452145214522"/>
    <n v="4928"/>
  </r>
  <r>
    <x v="14"/>
    <x v="3"/>
    <x v="14"/>
    <x v="5"/>
    <n v="3888"/>
    <n v="604"/>
    <n v="128"/>
    <n v="77760"/>
    <n v="77167"/>
    <n v="20"/>
    <s v="#FutureOfDriving"/>
    <x v="0"/>
    <n v="5.941358024691358E-2"/>
    <n v="4620"/>
  </r>
  <r>
    <x v="15"/>
    <x v="3"/>
    <x v="15"/>
    <x v="1"/>
    <n v="3452"/>
    <n v="377"/>
    <n v="360"/>
    <n v="55232"/>
    <n v="55075"/>
    <n v="87"/>
    <s v="#FutureOfDriving"/>
    <x v="2"/>
    <n v="7.5843713789107758E-2"/>
    <n v="4189"/>
  </r>
  <r>
    <x v="16"/>
    <x v="3"/>
    <x v="16"/>
    <x v="1"/>
    <n v="4441"/>
    <n v="511"/>
    <n v="70"/>
    <n v="53292"/>
    <n v="53082"/>
    <n v="159"/>
    <s v="#EVRevolution"/>
    <x v="3"/>
    <n v="9.4235532537716729E-2"/>
    <n v="5022"/>
  </r>
  <r>
    <x v="17"/>
    <x v="2"/>
    <x v="17"/>
    <x v="0"/>
    <n v="3000"/>
    <n v="382"/>
    <n v="325"/>
    <n v="36000"/>
    <n v="35819"/>
    <n v="19"/>
    <s v="#FutureOfDriving"/>
    <x v="0"/>
    <n v="0.10297222222222223"/>
    <n v="3707"/>
  </r>
  <r>
    <x v="18"/>
    <x v="2"/>
    <x v="18"/>
    <x v="5"/>
    <n v="1071"/>
    <n v="519"/>
    <n v="22"/>
    <n v="16065"/>
    <n v="15865"/>
    <n v="103"/>
    <s v="#TeslaCoInnovation"/>
    <x v="3"/>
    <n v="0.10034235916588857"/>
    <n v="1612"/>
  </r>
  <r>
    <x v="19"/>
    <x v="2"/>
    <x v="19"/>
    <x v="3"/>
    <n v="4054"/>
    <n v="488"/>
    <n v="373"/>
    <n v="77026"/>
    <n v="76881"/>
    <n v="25"/>
    <s v="#TeslaCoInnovation"/>
    <x v="0"/>
    <n v="6.3809622724794221E-2"/>
    <n v="4915"/>
  </r>
  <r>
    <x v="20"/>
    <x v="2"/>
    <x v="20"/>
    <x v="0"/>
    <n v="4838"/>
    <n v="640"/>
    <n v="128"/>
    <n v="72570"/>
    <n v="72396"/>
    <n v="83"/>
    <s v="#FutureOfDriving"/>
    <x v="3"/>
    <n v="7.7249552156538517E-2"/>
    <n v="5606"/>
  </r>
  <r>
    <x v="21"/>
    <x v="3"/>
    <x v="21"/>
    <x v="1"/>
    <n v="1570"/>
    <n v="187"/>
    <n v="260"/>
    <n v="25120"/>
    <n v="24613"/>
    <n v="133"/>
    <s v="#TeslaCoInnovation"/>
    <x v="3"/>
    <n v="8.0294585987261149E-2"/>
    <n v="2017"/>
  </r>
  <r>
    <x v="22"/>
    <x v="3"/>
    <x v="22"/>
    <x v="5"/>
    <n v="1606"/>
    <n v="547"/>
    <n v="316"/>
    <n v="32120"/>
    <n v="31736"/>
    <n v="225"/>
    <s v="#TeslaCoInnovation,#AnytimeIsTeslaTime"/>
    <x v="1"/>
    <n v="7.6867995018679955E-2"/>
    <n v="2469"/>
  </r>
  <r>
    <x v="23"/>
    <x v="3"/>
    <x v="23"/>
    <x v="5"/>
    <n v="3961"/>
    <n v="761"/>
    <n v="131"/>
    <n v="67337"/>
    <n v="66615"/>
    <n v="161"/>
    <s v="#FutureOfDriving"/>
    <x v="2"/>
    <n v="7.2070332803659209E-2"/>
    <n v="4853"/>
  </r>
  <r>
    <x v="24"/>
    <x v="0"/>
    <x v="24"/>
    <x v="3"/>
    <n v="3128"/>
    <n v="211"/>
    <n v="197"/>
    <n v="59432"/>
    <n v="59182"/>
    <n v="238"/>
    <s v="#EVRevolution"/>
    <x v="4"/>
    <n v="5.9496567505720827E-2"/>
    <n v="3536"/>
  </r>
  <r>
    <x v="25"/>
    <x v="1"/>
    <x v="25"/>
    <x v="0"/>
    <n v="3009"/>
    <n v="413"/>
    <n v="358"/>
    <n v="42126"/>
    <n v="41309"/>
    <n v="211"/>
    <s v="#FutureOfDriving"/>
    <x v="1"/>
    <n v="8.9730807577268201E-2"/>
    <n v="3780"/>
  </r>
  <r>
    <x v="26"/>
    <x v="1"/>
    <x v="26"/>
    <x v="1"/>
    <n v="2076"/>
    <n v="195"/>
    <n v="104"/>
    <n v="33216"/>
    <n v="32244"/>
    <n v="51"/>
    <s v="#FutureOfDriving"/>
    <x v="3"/>
    <n v="7.1501685934489398E-2"/>
    <n v="2375"/>
  </r>
  <r>
    <x v="27"/>
    <x v="2"/>
    <x v="27"/>
    <x v="5"/>
    <n v="432"/>
    <n v="624"/>
    <n v="123"/>
    <n v="6912"/>
    <n v="6259"/>
    <n v="79"/>
    <s v="#FutureOfDriving"/>
    <x v="3"/>
    <n v="0.17057291666666666"/>
    <n v="1179"/>
  </r>
  <r>
    <x v="28"/>
    <x v="2"/>
    <x v="28"/>
    <x v="3"/>
    <n v="2566"/>
    <n v="118"/>
    <n v="37"/>
    <n v="12830"/>
    <n v="12264"/>
    <n v="221"/>
    <s v="#FutureOfDriving"/>
    <x v="2"/>
    <n v="0.21208106001558846"/>
    <n v="2721"/>
  </r>
  <r>
    <x v="29"/>
    <x v="2"/>
    <x v="29"/>
    <x v="5"/>
    <n v="3095"/>
    <n v="39"/>
    <n v="78"/>
    <n v="55710"/>
    <n v="54808"/>
    <n v="93"/>
    <s v="#EVRevolution"/>
    <x v="4"/>
    <n v="5.7655717106444085E-2"/>
    <n v="3212"/>
  </r>
  <r>
    <x v="30"/>
    <x v="2"/>
    <x v="30"/>
    <x v="1"/>
    <n v="438"/>
    <n v="153"/>
    <n v="275"/>
    <n v="3066"/>
    <n v="2701"/>
    <n v="282"/>
    <s v="#TeslaCoInnovation"/>
    <x v="1"/>
    <n v="0.28245270711024134"/>
    <n v="866"/>
  </r>
  <r>
    <x v="31"/>
    <x v="0"/>
    <x v="31"/>
    <x v="3"/>
    <n v="2278"/>
    <n v="10"/>
    <n v="321"/>
    <n v="13668"/>
    <n v="12676"/>
    <n v="275"/>
    <s v="#EVRevolution"/>
    <x v="0"/>
    <n v="0.19088381621305239"/>
    <n v="2609"/>
  </r>
  <r>
    <x v="32"/>
    <x v="3"/>
    <x v="32"/>
    <x v="4"/>
    <n v="1407"/>
    <n v="400"/>
    <n v="351"/>
    <n v="16884"/>
    <n v="15954"/>
    <n v="113"/>
    <s v="#TeslaCoInnovation"/>
    <x v="0"/>
    <n v="0.12781331438047855"/>
    <n v="2158"/>
  </r>
  <r>
    <x v="33"/>
    <x v="3"/>
    <x v="33"/>
    <x v="1"/>
    <n v="1652"/>
    <n v="89"/>
    <n v="357"/>
    <n v="29736"/>
    <n v="28771"/>
    <n v="215"/>
    <s v="#TeslaCoInnovation"/>
    <x v="2"/>
    <n v="7.055421038471886E-2"/>
    <n v="2098"/>
  </r>
  <r>
    <x v="34"/>
    <x v="2"/>
    <x v="34"/>
    <x v="5"/>
    <n v="3775"/>
    <n v="16"/>
    <n v="239"/>
    <n v="33975"/>
    <n v="33310"/>
    <n v="271"/>
    <s v="#FutureOfDriving"/>
    <x v="1"/>
    <n v="0.11861662987490802"/>
    <n v="4030"/>
  </r>
  <r>
    <x v="35"/>
    <x v="2"/>
    <x v="35"/>
    <x v="2"/>
    <n v="4518"/>
    <n v="285"/>
    <n v="383"/>
    <n v="67770"/>
    <n v="67621"/>
    <n v="31"/>
    <s v="#EVRevolution"/>
    <x v="1"/>
    <n v="7.6523535487678915E-2"/>
    <n v="5186"/>
  </r>
  <r>
    <x v="36"/>
    <x v="3"/>
    <x v="36"/>
    <x v="3"/>
    <n v="3024"/>
    <n v="925"/>
    <n v="350"/>
    <n v="24192"/>
    <n v="23518"/>
    <n v="36"/>
    <s v="#EVRevolution"/>
    <x v="1"/>
    <n v="0.17770337301587302"/>
    <n v="4299"/>
  </r>
  <r>
    <x v="37"/>
    <x v="1"/>
    <x v="37"/>
    <x v="0"/>
    <n v="3138"/>
    <n v="123"/>
    <n v="291"/>
    <n v="28242"/>
    <n v="27550"/>
    <n v="87"/>
    <s v="#TeslaCoInnovation"/>
    <x v="3"/>
    <n v="0.12577012959422137"/>
    <n v="3552"/>
  </r>
  <r>
    <x v="38"/>
    <x v="3"/>
    <x v="38"/>
    <x v="4"/>
    <n v="3564"/>
    <n v="629"/>
    <n v="177"/>
    <n v="60588"/>
    <n v="59627"/>
    <n v="92"/>
    <s v="#TeslaCoInnovation"/>
    <x v="4"/>
    <n v="7.2126493695121141E-2"/>
    <n v="4370"/>
  </r>
  <r>
    <x v="39"/>
    <x v="0"/>
    <x v="39"/>
    <x v="4"/>
    <n v="4750"/>
    <n v="151"/>
    <n v="415"/>
    <n v="38000"/>
    <n v="37792"/>
    <n v="299"/>
    <s v="#EVRevolution"/>
    <x v="3"/>
    <n v="0.13989473684210527"/>
    <n v="5316"/>
  </r>
  <r>
    <x v="40"/>
    <x v="2"/>
    <x v="40"/>
    <x v="0"/>
    <n v="456"/>
    <n v="629"/>
    <n v="428"/>
    <n v="8208"/>
    <n v="7377"/>
    <n v="205"/>
    <s v="#FutureOfDriving"/>
    <x v="3"/>
    <n v="0.18433235867446393"/>
    <n v="1513"/>
  </r>
  <r>
    <x v="41"/>
    <x v="1"/>
    <x v="41"/>
    <x v="0"/>
    <n v="1543"/>
    <n v="820"/>
    <n v="333"/>
    <n v="12344"/>
    <n v="11496"/>
    <n v="241"/>
    <s v="#EVRevolution"/>
    <x v="4"/>
    <n v="0.21840570317563188"/>
    <n v="2696"/>
  </r>
  <r>
    <x v="42"/>
    <x v="2"/>
    <x v="42"/>
    <x v="3"/>
    <n v="2174"/>
    <n v="658"/>
    <n v="15"/>
    <n v="13044"/>
    <n v="12206"/>
    <n v="137"/>
    <s v="#TeslaCoInnovation"/>
    <x v="2"/>
    <n v="0.21826126954921804"/>
    <n v="2847"/>
  </r>
  <r>
    <x v="43"/>
    <x v="0"/>
    <x v="43"/>
    <x v="4"/>
    <n v="2358"/>
    <n v="784"/>
    <n v="344"/>
    <n v="35370"/>
    <n v="34475"/>
    <n v="216"/>
    <s v="#TeslaCoInnovation"/>
    <x v="4"/>
    <n v="9.8558100084817649E-2"/>
    <n v="3486"/>
  </r>
  <r>
    <x v="44"/>
    <x v="3"/>
    <x v="44"/>
    <x v="5"/>
    <n v="3371"/>
    <n v="106"/>
    <n v="327"/>
    <n v="50565"/>
    <n v="49816"/>
    <n v="176"/>
    <s v="#FutureOfDriving"/>
    <x v="0"/>
    <n v="7.5229902106199939E-2"/>
    <n v="3804"/>
  </r>
  <r>
    <x v="45"/>
    <x v="0"/>
    <x v="45"/>
    <x v="5"/>
    <n v="1108"/>
    <n v="177"/>
    <n v="212"/>
    <n v="8864"/>
    <n v="8710"/>
    <n v="97"/>
    <s v="#TeslaCoInnovation"/>
    <x v="3"/>
    <n v="0.16888537906137185"/>
    <n v="1497"/>
  </r>
  <r>
    <x v="46"/>
    <x v="0"/>
    <x v="46"/>
    <x v="3"/>
    <n v="2704"/>
    <n v="752"/>
    <n v="153"/>
    <n v="21632"/>
    <n v="20792"/>
    <n v="127"/>
    <s v="#FutureOfDriving"/>
    <x v="4"/>
    <n v="0.16683616863905326"/>
    <n v="3609"/>
  </r>
  <r>
    <x v="47"/>
    <x v="0"/>
    <x v="9"/>
    <x v="2"/>
    <n v="1950"/>
    <n v="295"/>
    <n v="478"/>
    <n v="37050"/>
    <n v="36272"/>
    <n v="119"/>
    <s v="#TeslaCoInnovation"/>
    <x v="4"/>
    <n v="7.349527665317139E-2"/>
    <n v="2723"/>
  </r>
  <r>
    <x v="48"/>
    <x v="0"/>
    <x v="47"/>
    <x v="2"/>
    <n v="2164"/>
    <n v="549"/>
    <n v="274"/>
    <n v="28132"/>
    <n v="27361"/>
    <n v="177"/>
    <s v="#TeslaCoInnovation"/>
    <x v="3"/>
    <n v="0.10617801791554102"/>
    <n v="2987"/>
  </r>
  <r>
    <x v="49"/>
    <x v="1"/>
    <x v="48"/>
    <x v="2"/>
    <n v="2754"/>
    <n v="130"/>
    <n v="90"/>
    <n v="22032"/>
    <n v="21288"/>
    <n v="112"/>
    <s v="#TeslaCoInnovation"/>
    <x v="2"/>
    <n v="0.13498547567175018"/>
    <n v="2974"/>
  </r>
  <r>
    <x v="50"/>
    <x v="3"/>
    <x v="49"/>
    <x v="3"/>
    <n v="2200"/>
    <n v="504"/>
    <n v="239"/>
    <n v="37400"/>
    <n v="36938"/>
    <n v="225"/>
    <s v="#FutureOfDriving"/>
    <x v="1"/>
    <n v="7.8689839572192513E-2"/>
    <n v="2943"/>
  </r>
  <r>
    <x v="51"/>
    <x v="3"/>
    <x v="50"/>
    <x v="4"/>
    <n v="947"/>
    <n v="338"/>
    <n v="350"/>
    <n v="10417"/>
    <n v="9730"/>
    <n v="34"/>
    <s v="#TeslaCoInnovation"/>
    <x v="3"/>
    <n v="0.1569549774407219"/>
    <n v="1635"/>
  </r>
  <r>
    <x v="52"/>
    <x v="1"/>
    <x v="46"/>
    <x v="3"/>
    <n v="804"/>
    <n v="639"/>
    <n v="43"/>
    <n v="4020"/>
    <n v="3144"/>
    <n v="11"/>
    <s v="#EVRevolution,#BetterWithTesla"/>
    <x v="4"/>
    <n v="0.36965174129353234"/>
    <n v="1486"/>
  </r>
  <r>
    <x v="53"/>
    <x v="1"/>
    <x v="51"/>
    <x v="3"/>
    <n v="1686"/>
    <n v="904"/>
    <n v="472"/>
    <n v="18546"/>
    <n v="18171"/>
    <n v="52"/>
    <s v="#FutureOfDriving"/>
    <x v="1"/>
    <n v="0.16510298716704411"/>
    <n v="3062"/>
  </r>
  <r>
    <x v="54"/>
    <x v="3"/>
    <x v="52"/>
    <x v="4"/>
    <n v="1226"/>
    <n v="119"/>
    <n v="7"/>
    <n v="14712"/>
    <n v="14049"/>
    <n v="123"/>
    <s v="#EVRevolution"/>
    <x v="3"/>
    <n v="9.1897770527460579E-2"/>
    <n v="1352"/>
  </r>
  <r>
    <x v="55"/>
    <x v="3"/>
    <x v="53"/>
    <x v="3"/>
    <n v="2946"/>
    <n v="498"/>
    <n v="367"/>
    <n v="29460"/>
    <n v="28527"/>
    <n v="60"/>
    <s v="#FutureOfDriving"/>
    <x v="2"/>
    <n v="0.12936184657162253"/>
    <n v="3811"/>
  </r>
  <r>
    <x v="56"/>
    <x v="0"/>
    <x v="54"/>
    <x v="5"/>
    <n v="2825"/>
    <n v="535"/>
    <n v="295"/>
    <n v="45200"/>
    <n v="44739"/>
    <n v="169"/>
    <s v="#TeslaCoInnovation"/>
    <x v="0"/>
    <n v="8.0862831858407078E-2"/>
    <n v="3655"/>
  </r>
  <r>
    <x v="57"/>
    <x v="2"/>
    <x v="55"/>
    <x v="0"/>
    <n v="103"/>
    <n v="770"/>
    <n v="19"/>
    <n v="1030"/>
    <n v="410"/>
    <n v="262"/>
    <s v="#TeslaCoInnovation"/>
    <x v="3"/>
    <n v="0.86601941747572819"/>
    <n v="892"/>
  </r>
  <r>
    <x v="58"/>
    <x v="2"/>
    <x v="56"/>
    <x v="1"/>
    <n v="2180"/>
    <n v="263"/>
    <n v="387"/>
    <n v="30520"/>
    <n v="30059"/>
    <n v="174"/>
    <s v="#EVRevolution"/>
    <x v="4"/>
    <n v="9.2726081258191345E-2"/>
    <n v="2830"/>
  </r>
  <r>
    <x v="59"/>
    <x v="2"/>
    <x v="57"/>
    <x v="5"/>
    <n v="904"/>
    <n v="973"/>
    <n v="63"/>
    <n v="11752"/>
    <n v="11580"/>
    <n v="84"/>
    <s v="#EVRevolution,#TeslaCoInnovation,#AnytimeIsTeslaTime"/>
    <x v="2"/>
    <n v="0.1650782845473111"/>
    <n v="1940"/>
  </r>
  <r>
    <x v="60"/>
    <x v="0"/>
    <x v="58"/>
    <x v="5"/>
    <n v="4886"/>
    <n v="983"/>
    <n v="409"/>
    <n v="43974"/>
    <n v="43239"/>
    <n v="65"/>
    <s v="#TeslaCoInnovation"/>
    <x v="0"/>
    <n v="0.14276618001546368"/>
    <n v="6278"/>
  </r>
  <r>
    <x v="61"/>
    <x v="0"/>
    <x v="59"/>
    <x v="3"/>
    <n v="53"/>
    <n v="81"/>
    <n v="379"/>
    <n v="954"/>
    <n v="7"/>
    <n v="148"/>
    <s v="#TeslaCoInnovation"/>
    <x v="2"/>
    <n v="0.53773584905660377"/>
    <n v="513"/>
  </r>
  <r>
    <x v="62"/>
    <x v="0"/>
    <x v="31"/>
    <x v="3"/>
    <n v="4507"/>
    <n v="217"/>
    <n v="13"/>
    <n v="90140"/>
    <n v="89591"/>
    <n v="125"/>
    <s v="#FutureOfDriving"/>
    <x v="2"/>
    <n v="5.2551586421122697E-2"/>
    <n v="4737"/>
  </r>
  <r>
    <x v="63"/>
    <x v="3"/>
    <x v="60"/>
    <x v="4"/>
    <n v="2878"/>
    <n v="248"/>
    <n v="416"/>
    <n v="43170"/>
    <n v="42667"/>
    <n v="75"/>
    <s v="#FutureOfDriving"/>
    <x v="2"/>
    <n v="8.2047718322909427E-2"/>
    <n v="3542"/>
  </r>
  <r>
    <x v="64"/>
    <x v="2"/>
    <x v="61"/>
    <x v="2"/>
    <n v="1881"/>
    <n v="501"/>
    <n v="99"/>
    <n v="20691"/>
    <n v="19987"/>
    <n v="289"/>
    <s v="#EVRevolution"/>
    <x v="4"/>
    <n v="0.11990720603160794"/>
    <n v="2481"/>
  </r>
  <r>
    <x v="65"/>
    <x v="0"/>
    <x v="62"/>
    <x v="3"/>
    <n v="432"/>
    <n v="171"/>
    <n v="280"/>
    <n v="3024"/>
    <n v="2285"/>
    <n v="184"/>
    <s v="#EVRevolution"/>
    <x v="0"/>
    <n v="0.29199735449735448"/>
    <n v="883"/>
  </r>
  <r>
    <x v="66"/>
    <x v="3"/>
    <x v="63"/>
    <x v="3"/>
    <n v="4712"/>
    <n v="568"/>
    <n v="127"/>
    <n v="84816"/>
    <n v="84691"/>
    <n v="100"/>
    <s v="#EVRevolution"/>
    <x v="2"/>
    <n v="6.3749764195434822E-2"/>
    <n v="5407"/>
  </r>
  <r>
    <x v="67"/>
    <x v="2"/>
    <x v="64"/>
    <x v="2"/>
    <n v="2610"/>
    <n v="126"/>
    <n v="288"/>
    <n v="15660"/>
    <n v="15145"/>
    <n v="73"/>
    <s v="#EVRevolution"/>
    <x v="4"/>
    <n v="0.19310344827586207"/>
    <n v="3024"/>
  </r>
  <r>
    <x v="68"/>
    <x v="0"/>
    <x v="40"/>
    <x v="1"/>
    <n v="1292"/>
    <n v="626"/>
    <n v="496"/>
    <n v="25840"/>
    <n v="24916"/>
    <n v="149"/>
    <s v="#FutureOfDriving"/>
    <x v="2"/>
    <n v="9.3421052631578946E-2"/>
    <n v="2414"/>
  </r>
  <r>
    <x v="69"/>
    <x v="3"/>
    <x v="65"/>
    <x v="5"/>
    <n v="199"/>
    <n v="772"/>
    <n v="400"/>
    <n v="3582"/>
    <n v="2988"/>
    <n v="43"/>
    <s v="#TeslaCoInnovation"/>
    <x v="4"/>
    <n v="0.38274706867671693"/>
    <n v="1371"/>
  </r>
  <r>
    <x v="70"/>
    <x v="1"/>
    <x v="66"/>
    <x v="3"/>
    <n v="2551"/>
    <n v="915"/>
    <n v="205"/>
    <n v="30612"/>
    <n v="30360"/>
    <n v="227"/>
    <s v="#TeslaCoInnovation"/>
    <x v="1"/>
    <n v="0.1199202926956749"/>
    <n v="3671"/>
  </r>
  <r>
    <x v="71"/>
    <x v="1"/>
    <x v="67"/>
    <x v="0"/>
    <n v="296"/>
    <n v="60"/>
    <n v="141"/>
    <n v="5624"/>
    <n v="5239"/>
    <n v="88"/>
    <s v="#EVRevolution"/>
    <x v="1"/>
    <n v="8.837126600284495E-2"/>
    <n v="497"/>
  </r>
  <r>
    <x v="72"/>
    <x v="3"/>
    <x v="68"/>
    <x v="2"/>
    <n v="4126"/>
    <n v="426"/>
    <n v="486"/>
    <n v="78394"/>
    <n v="77798"/>
    <n v="88"/>
    <s v="#FutureOfDriving"/>
    <x v="3"/>
    <n v="6.4265122330790625E-2"/>
    <n v="5038"/>
  </r>
  <r>
    <x v="73"/>
    <x v="1"/>
    <x v="69"/>
    <x v="0"/>
    <n v="1855"/>
    <n v="200"/>
    <n v="174"/>
    <n v="16695"/>
    <n v="16330"/>
    <n v="123"/>
    <s v="#TeslaCoInnovation"/>
    <x v="2"/>
    <n v="0.13351302785265048"/>
    <n v="2229"/>
  </r>
  <r>
    <x v="74"/>
    <x v="2"/>
    <x v="70"/>
    <x v="0"/>
    <n v="1674"/>
    <n v="929"/>
    <n v="37"/>
    <n v="21762"/>
    <n v="20998"/>
    <n v="255"/>
    <s v="#TeslaCoInnovation"/>
    <x v="3"/>
    <n v="0.12131237937689551"/>
    <n v="2640"/>
  </r>
  <r>
    <x v="75"/>
    <x v="0"/>
    <x v="71"/>
    <x v="2"/>
    <n v="1121"/>
    <n v="135"/>
    <n v="18"/>
    <n v="15694"/>
    <n v="14957"/>
    <n v="99"/>
    <s v="#TeslaCoInnovation"/>
    <x v="3"/>
    <n v="8.1177520071364848E-2"/>
    <n v="1274"/>
  </r>
  <r>
    <x v="76"/>
    <x v="3"/>
    <x v="27"/>
    <x v="2"/>
    <n v="1249"/>
    <n v="116"/>
    <n v="420"/>
    <n v="8743"/>
    <n v="8538"/>
    <n v="63"/>
    <s v="#TeslaCoInnovation"/>
    <x v="4"/>
    <n v="0.20416333066453163"/>
    <n v="1785"/>
  </r>
  <r>
    <x v="77"/>
    <x v="0"/>
    <x v="52"/>
    <x v="4"/>
    <n v="954"/>
    <n v="324"/>
    <n v="288"/>
    <n v="19080"/>
    <n v="18859"/>
    <n v="21"/>
    <s v="#FutureOfDriving"/>
    <x v="3"/>
    <n v="8.2075471698113203E-2"/>
    <n v="1566"/>
  </r>
  <r>
    <x v="78"/>
    <x v="2"/>
    <x v="72"/>
    <x v="3"/>
    <n v="3068"/>
    <n v="137"/>
    <n v="329"/>
    <n v="39884"/>
    <n v="39404"/>
    <n v="266"/>
    <s v="#EVRevolution"/>
    <x v="1"/>
    <n v="8.860696018453515E-2"/>
    <n v="3534"/>
  </r>
  <r>
    <x v="79"/>
    <x v="2"/>
    <x v="49"/>
    <x v="2"/>
    <n v="2103"/>
    <n v="892"/>
    <n v="103"/>
    <n v="39957"/>
    <n v="39466"/>
    <n v="28"/>
    <s v="#FutureOfDriving"/>
    <x v="4"/>
    <n v="7.7533348349475686E-2"/>
    <n v="3098"/>
  </r>
  <r>
    <x v="80"/>
    <x v="2"/>
    <x v="73"/>
    <x v="2"/>
    <n v="1816"/>
    <n v="29"/>
    <n v="41"/>
    <n v="19976"/>
    <n v="19262"/>
    <n v="283"/>
    <s v="#TeslaCoInnovation"/>
    <x v="2"/>
    <n v="9.4413295955146179E-2"/>
    <n v="1886"/>
  </r>
  <r>
    <x v="81"/>
    <x v="2"/>
    <x v="74"/>
    <x v="4"/>
    <n v="725"/>
    <n v="88"/>
    <n v="428"/>
    <n v="14500"/>
    <n v="13637"/>
    <n v="200"/>
    <s v="#FutureOfDriving,#TeslaCoInnovation,#AnytimeIsTeslaTime"/>
    <x v="2"/>
    <n v="8.558620689655172E-2"/>
    <n v="1241"/>
  </r>
  <r>
    <x v="82"/>
    <x v="1"/>
    <x v="75"/>
    <x v="5"/>
    <n v="1094"/>
    <n v="472"/>
    <n v="21"/>
    <n v="9846"/>
    <n v="9609"/>
    <n v="112"/>
    <s v="#EVRevolution"/>
    <x v="4"/>
    <n v="0.16118220597196831"/>
    <n v="1587"/>
  </r>
  <r>
    <x v="83"/>
    <x v="3"/>
    <x v="76"/>
    <x v="4"/>
    <n v="1841"/>
    <n v="851"/>
    <n v="342"/>
    <n v="34979"/>
    <n v="34154"/>
    <n v="255"/>
    <s v="#FutureOfDriving"/>
    <x v="3"/>
    <n v="8.6737756939878216E-2"/>
    <n v="3034"/>
  </r>
  <r>
    <x v="84"/>
    <x v="2"/>
    <x v="35"/>
    <x v="4"/>
    <n v="4177"/>
    <n v="569"/>
    <n v="55"/>
    <n v="25062"/>
    <n v="24847"/>
    <n v="230"/>
    <s v="#FutureOfDriving"/>
    <x v="0"/>
    <n v="0.19156491900087783"/>
    <n v="4801"/>
  </r>
  <r>
    <x v="85"/>
    <x v="1"/>
    <x v="77"/>
    <x v="1"/>
    <n v="3428"/>
    <n v="305"/>
    <n v="85"/>
    <n v="58276"/>
    <n v="58052"/>
    <n v="242"/>
    <s v="#EVRevolution,#BetterWithTesla"/>
    <x v="3"/>
    <n v="6.5515821264328367E-2"/>
    <n v="3818"/>
  </r>
  <r>
    <x v="86"/>
    <x v="0"/>
    <x v="78"/>
    <x v="5"/>
    <n v="1436"/>
    <n v="765"/>
    <n v="496"/>
    <n v="12924"/>
    <n v="12701"/>
    <n v="197"/>
    <s v="#FutureOfDriving"/>
    <x v="2"/>
    <n v="0.20868152274837512"/>
    <n v="2697"/>
  </r>
  <r>
    <x v="87"/>
    <x v="3"/>
    <x v="79"/>
    <x v="2"/>
    <n v="302"/>
    <n v="47"/>
    <n v="430"/>
    <n v="5738"/>
    <n v="4890"/>
    <n v="25"/>
    <s v="#TeslaCoInnovation"/>
    <x v="3"/>
    <n v="0.13576158940397351"/>
    <n v="779"/>
  </r>
  <r>
    <x v="88"/>
    <x v="0"/>
    <x v="80"/>
    <x v="4"/>
    <n v="2214"/>
    <n v="249"/>
    <n v="152"/>
    <n v="15498"/>
    <n v="14800"/>
    <n v="180"/>
    <s v="#EVRevolution"/>
    <x v="4"/>
    <n v="0.16873144921925409"/>
    <n v="2615"/>
  </r>
  <r>
    <x v="89"/>
    <x v="2"/>
    <x v="81"/>
    <x v="4"/>
    <n v="3861"/>
    <n v="960"/>
    <n v="101"/>
    <n v="69498"/>
    <n v="68817"/>
    <n v="297"/>
    <s v="#TeslaCoInnovation"/>
    <x v="3"/>
    <n v="7.0822181933293038E-2"/>
    <n v="4922"/>
  </r>
  <r>
    <x v="90"/>
    <x v="3"/>
    <x v="82"/>
    <x v="4"/>
    <n v="1263"/>
    <n v="397"/>
    <n v="357"/>
    <n v="25260"/>
    <n v="24615"/>
    <n v="137"/>
    <s v="#EVRevolution"/>
    <x v="3"/>
    <n v="7.984956452889945E-2"/>
    <n v="2017"/>
  </r>
  <r>
    <x v="91"/>
    <x v="0"/>
    <x v="54"/>
    <x v="2"/>
    <n v="3801"/>
    <n v="967"/>
    <n v="401"/>
    <n v="38010"/>
    <n v="37625"/>
    <n v="236"/>
    <s v="#FutureOfDriving"/>
    <x v="2"/>
    <n v="0.13599052880820836"/>
    <n v="5169"/>
  </r>
  <r>
    <x v="92"/>
    <x v="2"/>
    <x v="83"/>
    <x v="5"/>
    <n v="1431"/>
    <n v="951"/>
    <n v="26"/>
    <n v="8586"/>
    <n v="8396"/>
    <n v="150"/>
    <s v="#EVRevolution"/>
    <x v="2"/>
    <n v="0.28045655718611695"/>
    <n v="2408"/>
  </r>
  <r>
    <x v="93"/>
    <x v="2"/>
    <x v="71"/>
    <x v="4"/>
    <n v="2647"/>
    <n v="304"/>
    <n v="170"/>
    <n v="18529"/>
    <n v="17841"/>
    <n v="46"/>
    <s v="#FutureOfDriving"/>
    <x v="2"/>
    <n v="0.16843866371633656"/>
    <n v="3121"/>
  </r>
  <r>
    <x v="94"/>
    <x v="2"/>
    <x v="84"/>
    <x v="1"/>
    <n v="3182"/>
    <n v="559"/>
    <n v="160"/>
    <n v="57276"/>
    <n v="56890"/>
    <n v="163"/>
    <s v="#FutureOfDriving"/>
    <x v="3"/>
    <n v="6.8108806480899509E-2"/>
    <n v="3901"/>
  </r>
  <r>
    <x v="95"/>
    <x v="0"/>
    <x v="85"/>
    <x v="4"/>
    <n v="1238"/>
    <n v="366"/>
    <n v="444"/>
    <n v="19808"/>
    <n v="19334"/>
    <n v="123"/>
    <s v="#FutureOfDriving"/>
    <x v="4"/>
    <n v="0.10339256865912763"/>
    <n v="2048"/>
  </r>
  <r>
    <x v="96"/>
    <x v="2"/>
    <x v="86"/>
    <x v="4"/>
    <n v="4739"/>
    <n v="527"/>
    <n v="135"/>
    <n v="61607"/>
    <n v="61333"/>
    <n v="36"/>
    <s v="#TeslaCoInnovation,#AnytimeIsTeslaTime"/>
    <x v="1"/>
    <n v="8.7668609086629767E-2"/>
    <n v="5401"/>
  </r>
  <r>
    <x v="97"/>
    <x v="0"/>
    <x v="47"/>
    <x v="2"/>
    <n v="1575"/>
    <n v="771"/>
    <n v="486"/>
    <n v="25200"/>
    <n v="24826"/>
    <n v="17"/>
    <s v="#FutureOfDriving"/>
    <x v="3"/>
    <n v="0.11238095238095239"/>
    <n v="2832"/>
  </r>
  <r>
    <x v="98"/>
    <x v="1"/>
    <x v="87"/>
    <x v="3"/>
    <n v="4171"/>
    <n v="548"/>
    <n v="86"/>
    <n v="66736"/>
    <n v="66634"/>
    <n v="173"/>
    <s v="#FutureOfDriving"/>
    <x v="2"/>
    <n v="7.2000119875329657E-2"/>
    <n v="4805"/>
  </r>
  <r>
    <x v="99"/>
    <x v="1"/>
    <x v="88"/>
    <x v="5"/>
    <n v="1766"/>
    <n v="92"/>
    <n v="424"/>
    <n v="24724"/>
    <n v="24333"/>
    <n v="52"/>
    <s v="#EVRevolution"/>
    <x v="4"/>
    <n v="9.2298980747451867E-2"/>
    <n v="2282"/>
  </r>
  <r>
    <x v="100"/>
    <x v="1"/>
    <x v="68"/>
    <x v="5"/>
    <n v="4450"/>
    <n v="983"/>
    <n v="143"/>
    <n v="75650"/>
    <n v="75008"/>
    <n v="12"/>
    <s v="#FutureOfDriving"/>
    <x v="2"/>
    <n v="7.3707865168539333E-2"/>
    <n v="5576"/>
  </r>
  <r>
    <x v="101"/>
    <x v="0"/>
    <x v="89"/>
    <x v="0"/>
    <n v="1000"/>
    <n v="978"/>
    <n v="162"/>
    <n v="6000"/>
    <n v="5221"/>
    <n v="223"/>
    <s v="#EVRevolution"/>
    <x v="1"/>
    <n v="0.35666666666666669"/>
    <n v="2140"/>
  </r>
  <r>
    <x v="102"/>
    <x v="3"/>
    <x v="90"/>
    <x v="4"/>
    <n v="3689"/>
    <n v="48"/>
    <n v="306"/>
    <n v="40579"/>
    <n v="39588"/>
    <n v="212"/>
    <s v="#EVRevolution"/>
    <x v="1"/>
    <n v="9.9632815002833983E-2"/>
    <n v="4043"/>
  </r>
  <r>
    <x v="103"/>
    <x v="1"/>
    <x v="91"/>
    <x v="2"/>
    <n v="3655"/>
    <n v="568"/>
    <n v="286"/>
    <n v="32895"/>
    <n v="32015"/>
    <n v="199"/>
    <s v="#TeslaCoInnovation"/>
    <x v="2"/>
    <n v="0.13707250341997265"/>
    <n v="4509"/>
  </r>
  <r>
    <x v="104"/>
    <x v="2"/>
    <x v="92"/>
    <x v="3"/>
    <n v="498"/>
    <n v="38"/>
    <n v="42"/>
    <n v="4482"/>
    <n v="3647"/>
    <n v="32"/>
    <s v="#FutureOfDriving"/>
    <x v="0"/>
    <n v="0.12896028558679162"/>
    <n v="578"/>
  </r>
  <r>
    <x v="105"/>
    <x v="2"/>
    <x v="93"/>
    <x v="4"/>
    <n v="4619"/>
    <n v="821"/>
    <n v="499"/>
    <n v="69285"/>
    <n v="69141"/>
    <n v="298"/>
    <s v="#TeslaCoInnovation"/>
    <x v="3"/>
    <n v="8.5718409468138843E-2"/>
    <n v="5939"/>
  </r>
  <r>
    <x v="106"/>
    <x v="1"/>
    <x v="94"/>
    <x v="4"/>
    <n v="4832"/>
    <n v="893"/>
    <n v="10"/>
    <n v="91808"/>
    <n v="91296"/>
    <n v="182"/>
    <s v="#TeslaCoInnovation"/>
    <x v="4"/>
    <n v="6.2467323109097243E-2"/>
    <n v="5735"/>
  </r>
  <r>
    <x v="107"/>
    <x v="0"/>
    <x v="95"/>
    <x v="5"/>
    <n v="4050"/>
    <n v="871"/>
    <n v="347"/>
    <n v="52650"/>
    <n v="51755"/>
    <n v="209"/>
    <s v="#TeslaCoInnovation"/>
    <x v="1"/>
    <n v="0.10005698005698006"/>
    <n v="5268"/>
  </r>
  <r>
    <x v="108"/>
    <x v="0"/>
    <x v="96"/>
    <x v="2"/>
    <n v="3649"/>
    <n v="215"/>
    <n v="413"/>
    <n v="25543"/>
    <n v="24963"/>
    <n v="167"/>
    <s v="#FutureOfDriving"/>
    <x v="2"/>
    <n v="0.16744313510550835"/>
    <n v="4277"/>
  </r>
  <r>
    <x v="109"/>
    <x v="2"/>
    <x v="97"/>
    <x v="0"/>
    <n v="3523"/>
    <n v="753"/>
    <n v="482"/>
    <n v="38753"/>
    <n v="38579"/>
    <n v="270"/>
    <s v="#EVRevolution"/>
    <x v="1"/>
    <n v="0.12277759141227776"/>
    <n v="4758"/>
  </r>
  <r>
    <x v="110"/>
    <x v="1"/>
    <x v="98"/>
    <x v="4"/>
    <n v="2719"/>
    <n v="17"/>
    <n v="285"/>
    <n v="40785"/>
    <n v="40281"/>
    <n v="40"/>
    <s v="#TeslaCoInnovation"/>
    <x v="1"/>
    <n v="7.4071349760941527E-2"/>
    <n v="3021"/>
  </r>
  <r>
    <x v="111"/>
    <x v="0"/>
    <x v="99"/>
    <x v="2"/>
    <n v="1957"/>
    <n v="877"/>
    <n v="238"/>
    <n v="17613"/>
    <n v="16865"/>
    <n v="297"/>
    <s v="#FutureOfDriving"/>
    <x v="2"/>
    <n v="0.17441662408448305"/>
    <n v="3072"/>
  </r>
  <r>
    <x v="112"/>
    <x v="0"/>
    <x v="100"/>
    <x v="3"/>
    <n v="4419"/>
    <n v="236"/>
    <n v="369"/>
    <n v="44190"/>
    <n v="43582"/>
    <n v="10"/>
    <s v="#EVRevolution"/>
    <x v="0"/>
    <n v="0.11369088028965829"/>
    <n v="5024"/>
  </r>
  <r>
    <x v="113"/>
    <x v="0"/>
    <x v="101"/>
    <x v="2"/>
    <n v="4000"/>
    <n v="689"/>
    <n v="488"/>
    <n v="40000"/>
    <n v="39569"/>
    <n v="44"/>
    <s v="#FutureOfDriving"/>
    <x v="0"/>
    <n v="0.12942500000000001"/>
    <n v="5177"/>
  </r>
  <r>
    <x v="114"/>
    <x v="0"/>
    <x v="102"/>
    <x v="4"/>
    <n v="2493"/>
    <n v="97"/>
    <n v="44"/>
    <n v="42381"/>
    <n v="41991"/>
    <n v="242"/>
    <s v="#TeslaCoInnovation,#AnytimeIsTeslaTime"/>
    <x v="3"/>
    <n v="6.2150491965739366E-2"/>
    <n v="2634"/>
  </r>
  <r>
    <x v="115"/>
    <x v="1"/>
    <x v="103"/>
    <x v="0"/>
    <n v="3704"/>
    <n v="186"/>
    <n v="458"/>
    <n v="25928"/>
    <n v="25081"/>
    <n v="131"/>
    <s v="#TeslaCoInnovation"/>
    <x v="4"/>
    <n v="0.16769515581610614"/>
    <n v="4348"/>
  </r>
  <r>
    <x v="116"/>
    <x v="0"/>
    <x v="104"/>
    <x v="4"/>
    <n v="1606"/>
    <n v="451"/>
    <n v="405"/>
    <n v="20878"/>
    <n v="20190"/>
    <n v="219"/>
    <s v="#EVRevolution"/>
    <x v="3"/>
    <n v="0.11792317271769326"/>
    <n v="2462"/>
  </r>
  <r>
    <x v="117"/>
    <x v="3"/>
    <x v="104"/>
    <x v="4"/>
    <n v="4551"/>
    <n v="714"/>
    <n v="207"/>
    <n v="68265"/>
    <n v="67754"/>
    <n v="57"/>
    <s v="#FutureOfDriving"/>
    <x v="2"/>
    <n v="8.0158206987475278E-2"/>
    <n v="5472"/>
  </r>
  <r>
    <x v="118"/>
    <x v="2"/>
    <x v="105"/>
    <x v="0"/>
    <n v="1970"/>
    <n v="675"/>
    <n v="478"/>
    <n v="9850"/>
    <n v="8924"/>
    <n v="117"/>
    <s v="#FutureOfDriving"/>
    <x v="4"/>
    <n v="0.31705583756345179"/>
    <n v="3123"/>
  </r>
  <r>
    <x v="119"/>
    <x v="3"/>
    <x v="54"/>
    <x v="2"/>
    <n v="780"/>
    <n v="928"/>
    <n v="301"/>
    <n v="8580"/>
    <n v="8081"/>
    <n v="91"/>
    <s v="#EVRevolution"/>
    <x v="2"/>
    <n v="0.23414918414918415"/>
    <n v="2009"/>
  </r>
  <r>
    <x v="120"/>
    <x v="2"/>
    <x v="97"/>
    <x v="2"/>
    <n v="498"/>
    <n v="701"/>
    <n v="412"/>
    <n v="4980"/>
    <n v="4185"/>
    <n v="185"/>
    <s v="#FutureOfDriving"/>
    <x v="4"/>
    <n v="0.32349397590361445"/>
    <n v="1611"/>
  </r>
  <r>
    <x v="121"/>
    <x v="2"/>
    <x v="100"/>
    <x v="1"/>
    <n v="3432"/>
    <n v="869"/>
    <n v="123"/>
    <n v="54912"/>
    <n v="53916"/>
    <n v="264"/>
    <s v="#EVRevolution"/>
    <x v="1"/>
    <n v="8.0565268065268064E-2"/>
    <n v="4424"/>
  </r>
  <r>
    <x v="122"/>
    <x v="2"/>
    <x v="92"/>
    <x v="2"/>
    <n v="4363"/>
    <n v="649"/>
    <n v="140"/>
    <n v="21815"/>
    <n v="21481"/>
    <n v="157"/>
    <s v="#EVRevolution"/>
    <x v="0"/>
    <n v="0.23616777446710979"/>
    <n v="5152"/>
  </r>
  <r>
    <x v="123"/>
    <x v="1"/>
    <x v="106"/>
    <x v="3"/>
    <n v="736"/>
    <n v="771"/>
    <n v="225"/>
    <n v="5152"/>
    <n v="4706"/>
    <n v="19"/>
    <s v="#EVRevolution"/>
    <x v="0"/>
    <n v="0.33618012422360249"/>
    <n v="1732"/>
  </r>
  <r>
    <x v="124"/>
    <x v="0"/>
    <x v="107"/>
    <x v="3"/>
    <n v="3811"/>
    <n v="866"/>
    <n v="216"/>
    <n v="34299"/>
    <n v="34088"/>
    <n v="233"/>
    <s v="#TeslaCoInnovation"/>
    <x v="3"/>
    <n v="0.14265722032712325"/>
    <n v="4893"/>
  </r>
  <r>
    <x v="125"/>
    <x v="2"/>
    <x v="61"/>
    <x v="3"/>
    <n v="4158"/>
    <n v="167"/>
    <n v="241"/>
    <n v="45738"/>
    <n v="45183"/>
    <n v="142"/>
    <s v="#FutureOfDriving"/>
    <x v="4"/>
    <n v="9.9829463465827106E-2"/>
    <n v="4566"/>
  </r>
  <r>
    <x v="126"/>
    <x v="3"/>
    <x v="77"/>
    <x v="0"/>
    <n v="3452"/>
    <n v="652"/>
    <n v="442"/>
    <n v="65588"/>
    <n v="65049"/>
    <n v="158"/>
    <s v="#FutureOfDriving"/>
    <x v="2"/>
    <n v="6.9311459413307311E-2"/>
    <n v="4546"/>
  </r>
  <r>
    <x v="127"/>
    <x v="0"/>
    <x v="80"/>
    <x v="4"/>
    <n v="3092"/>
    <n v="106"/>
    <n v="291"/>
    <n v="27828"/>
    <n v="27217"/>
    <n v="102"/>
    <s v="#FutureOfDriving"/>
    <x v="4"/>
    <n v="0.12537731780940059"/>
    <n v="3489"/>
  </r>
  <r>
    <x v="128"/>
    <x v="0"/>
    <x v="11"/>
    <x v="1"/>
    <n v="2147"/>
    <n v="430"/>
    <n v="393"/>
    <n v="17176"/>
    <n v="16483"/>
    <n v="170"/>
    <s v="#TeslaCoInnovation"/>
    <x v="4"/>
    <n v="0.17291569632044715"/>
    <n v="2970"/>
  </r>
  <r>
    <x v="129"/>
    <x v="1"/>
    <x v="108"/>
    <x v="0"/>
    <n v="2936"/>
    <n v="439"/>
    <n v="44"/>
    <n v="38168"/>
    <n v="37571"/>
    <n v="22"/>
    <s v="#EVRevolution"/>
    <x v="3"/>
    <n v="8.9577656675749323E-2"/>
    <n v="3419"/>
  </r>
  <r>
    <x v="130"/>
    <x v="2"/>
    <x v="54"/>
    <x v="0"/>
    <n v="4840"/>
    <n v="658"/>
    <n v="211"/>
    <n v="43560"/>
    <n v="43225"/>
    <n v="57"/>
    <s v="#FutureOfDriving"/>
    <x v="2"/>
    <n v="0.13106060606060607"/>
    <n v="5709"/>
  </r>
  <r>
    <x v="131"/>
    <x v="2"/>
    <x v="27"/>
    <x v="2"/>
    <n v="1947"/>
    <n v="842"/>
    <n v="101"/>
    <n v="21417"/>
    <n v="20967"/>
    <n v="186"/>
    <s v="#FutureOfDriving"/>
    <x v="1"/>
    <n v="0.13493953401503478"/>
    <n v="2890"/>
  </r>
  <r>
    <x v="132"/>
    <x v="3"/>
    <x v="109"/>
    <x v="4"/>
    <n v="2072"/>
    <n v="532"/>
    <n v="71"/>
    <n v="37296"/>
    <n v="36467"/>
    <n v="25"/>
    <s v="#TeslaCoInnovation"/>
    <x v="3"/>
    <n v="7.172350922350923E-2"/>
    <n v="2675"/>
  </r>
  <r>
    <x v="133"/>
    <x v="0"/>
    <x v="110"/>
    <x v="0"/>
    <n v="3731"/>
    <n v="115"/>
    <n v="135"/>
    <n v="55965"/>
    <n v="55436"/>
    <n v="103"/>
    <s v="#TeslaCoInnovation"/>
    <x v="0"/>
    <n v="7.1133744304476013E-2"/>
    <n v="3981"/>
  </r>
  <r>
    <x v="134"/>
    <x v="3"/>
    <x v="111"/>
    <x v="1"/>
    <n v="4213"/>
    <n v="253"/>
    <n v="434"/>
    <n v="75834"/>
    <n v="75437"/>
    <n v="272"/>
    <s v="#FutureOfDriving"/>
    <x v="3"/>
    <n v="6.461481657304112E-2"/>
    <n v="4900"/>
  </r>
  <r>
    <x v="135"/>
    <x v="2"/>
    <x v="112"/>
    <x v="1"/>
    <n v="3134"/>
    <n v="888"/>
    <n v="444"/>
    <n v="21938"/>
    <n v="21337"/>
    <n v="130"/>
    <s v="#EVRevolution"/>
    <x v="3"/>
    <n v="0.20357370772176134"/>
    <n v="4466"/>
  </r>
  <r>
    <x v="136"/>
    <x v="3"/>
    <x v="31"/>
    <x v="5"/>
    <n v="3008"/>
    <n v="94"/>
    <n v="37"/>
    <n v="15040"/>
    <n v="14639"/>
    <n v="277"/>
    <s v="#FutureOfDriving"/>
    <x v="4"/>
    <n v="0.20871010638297871"/>
    <n v="3139"/>
  </r>
  <r>
    <x v="137"/>
    <x v="0"/>
    <x v="63"/>
    <x v="4"/>
    <n v="305"/>
    <n v="187"/>
    <n v="243"/>
    <n v="4575"/>
    <n v="3704"/>
    <n v="234"/>
    <s v="#FutureOfDriving"/>
    <x v="2"/>
    <n v="0.16065573770491803"/>
    <n v="735"/>
  </r>
  <r>
    <x v="138"/>
    <x v="1"/>
    <x v="113"/>
    <x v="1"/>
    <n v="2746"/>
    <n v="156"/>
    <n v="203"/>
    <n v="32952"/>
    <n v="32147"/>
    <n v="147"/>
    <s v="#EVRevolution"/>
    <x v="0"/>
    <n v="9.422796795338674E-2"/>
    <n v="3105"/>
  </r>
  <r>
    <x v="139"/>
    <x v="3"/>
    <x v="114"/>
    <x v="4"/>
    <n v="2291"/>
    <n v="78"/>
    <n v="485"/>
    <n v="18328"/>
    <n v="18101"/>
    <n v="10"/>
    <s v="#EVRevolution,#SmoothLikeNitroTesla"/>
    <x v="1"/>
    <n v="0.15571802706241816"/>
    <n v="2854"/>
  </r>
  <r>
    <x v="140"/>
    <x v="0"/>
    <x v="115"/>
    <x v="4"/>
    <n v="3170"/>
    <n v="857"/>
    <n v="379"/>
    <n v="19020"/>
    <n v="18559"/>
    <n v="240"/>
    <s v="#FutureOfDriving"/>
    <x v="4"/>
    <n v="0.2316508937960042"/>
    <n v="4406"/>
  </r>
  <r>
    <x v="141"/>
    <x v="1"/>
    <x v="95"/>
    <x v="2"/>
    <n v="2070"/>
    <n v="275"/>
    <n v="386"/>
    <n v="39330"/>
    <n v="38627"/>
    <n v="114"/>
    <s v="#FutureOfDriving"/>
    <x v="3"/>
    <n v="6.9438087973557078E-2"/>
    <n v="2731"/>
  </r>
  <r>
    <x v="142"/>
    <x v="1"/>
    <x v="100"/>
    <x v="3"/>
    <n v="80"/>
    <n v="362"/>
    <n v="80"/>
    <n v="1040"/>
    <n v="349"/>
    <n v="117"/>
    <s v="#TeslaCoInnovation"/>
    <x v="2"/>
    <n v="0.50192307692307692"/>
    <n v="522"/>
  </r>
  <r>
    <x v="143"/>
    <x v="1"/>
    <x v="69"/>
    <x v="2"/>
    <n v="4929"/>
    <n v="749"/>
    <n v="452"/>
    <n v="93651"/>
    <n v="92810"/>
    <n v="66"/>
    <s v="#EVRevolution"/>
    <x v="3"/>
    <n v="6.5455787978772245E-2"/>
    <n v="6130"/>
  </r>
  <r>
    <x v="144"/>
    <x v="2"/>
    <x v="3"/>
    <x v="3"/>
    <n v="1878"/>
    <n v="62"/>
    <n v="179"/>
    <n v="37560"/>
    <n v="36874"/>
    <n v="142"/>
    <s v="#TeslaCoInnovation"/>
    <x v="3"/>
    <n v="5.6416400425985093E-2"/>
    <n v="2119"/>
  </r>
  <r>
    <x v="145"/>
    <x v="1"/>
    <x v="116"/>
    <x v="0"/>
    <n v="3065"/>
    <n v="772"/>
    <n v="142"/>
    <n v="18390"/>
    <n v="17875"/>
    <n v="200"/>
    <s v="#EVRevolution,#AnytimeIsTeslaTime"/>
    <x v="4"/>
    <n v="0.21636759108210984"/>
    <n v="3979"/>
  </r>
  <r>
    <x v="146"/>
    <x v="2"/>
    <x v="54"/>
    <x v="0"/>
    <n v="3256"/>
    <n v="459"/>
    <n v="266"/>
    <n v="26048"/>
    <n v="25529"/>
    <n v="143"/>
    <s v="#TeslaCoInnovation"/>
    <x v="1"/>
    <n v="0.15283323095823095"/>
    <n v="3981"/>
  </r>
  <r>
    <x v="147"/>
    <x v="2"/>
    <x v="55"/>
    <x v="5"/>
    <n v="4133"/>
    <n v="466"/>
    <n v="327"/>
    <n v="24798"/>
    <n v="24620"/>
    <n v="176"/>
    <s v="#EVRevolution"/>
    <x v="3"/>
    <n v="0.19864505202032423"/>
    <n v="4926"/>
  </r>
  <r>
    <x v="148"/>
    <x v="0"/>
    <x v="117"/>
    <x v="5"/>
    <n v="1702"/>
    <n v="750"/>
    <n v="179"/>
    <n v="34040"/>
    <n v="33174"/>
    <n v="76"/>
    <s v="#EVRevolution"/>
    <x v="0"/>
    <n v="7.7291421856639245E-2"/>
    <n v="2631"/>
  </r>
  <r>
    <x v="149"/>
    <x v="1"/>
    <x v="118"/>
    <x v="3"/>
    <n v="4295"/>
    <n v="853"/>
    <n v="325"/>
    <n v="85900"/>
    <n v="85788"/>
    <n v="290"/>
    <s v="#TeslaCoInnovation"/>
    <x v="3"/>
    <n v="6.3713620488940623E-2"/>
    <n v="5473"/>
  </r>
  <r>
    <x v="150"/>
    <x v="2"/>
    <x v="62"/>
    <x v="4"/>
    <n v="3559"/>
    <n v="59"/>
    <n v="289"/>
    <n v="35590"/>
    <n v="35105"/>
    <n v="122"/>
    <s v="#EVRevolution"/>
    <x v="0"/>
    <n v="0.10977802753582468"/>
    <n v="3907"/>
  </r>
  <r>
    <x v="151"/>
    <x v="3"/>
    <x v="119"/>
    <x v="4"/>
    <n v="4804"/>
    <n v="550"/>
    <n v="270"/>
    <n v="28824"/>
    <n v="28370"/>
    <n v="47"/>
    <s v="#EVRevolution"/>
    <x v="3"/>
    <n v="0.19511518179295032"/>
    <n v="5624"/>
  </r>
  <r>
    <x v="152"/>
    <x v="0"/>
    <x v="120"/>
    <x v="5"/>
    <n v="754"/>
    <n v="197"/>
    <n v="257"/>
    <n v="6786"/>
    <n v="6221"/>
    <n v="212"/>
    <s v="#TeslaCoInnovation"/>
    <x v="2"/>
    <n v="0.17801355732390214"/>
    <n v="1208"/>
  </r>
  <r>
    <x v="153"/>
    <x v="2"/>
    <x v="72"/>
    <x v="3"/>
    <n v="985"/>
    <n v="932"/>
    <n v="287"/>
    <n v="6895"/>
    <n v="6757"/>
    <n v="64"/>
    <s v="#FutureOfDriving"/>
    <x v="3"/>
    <n v="0.31965192168237855"/>
    <n v="2204"/>
  </r>
  <r>
    <x v="154"/>
    <x v="1"/>
    <x v="121"/>
    <x v="4"/>
    <n v="2283"/>
    <n v="210"/>
    <n v="130"/>
    <n v="22830"/>
    <n v="22617"/>
    <n v="143"/>
    <s v="#FutureOfDriving"/>
    <x v="1"/>
    <n v="0.11489268506351293"/>
    <n v="2623"/>
  </r>
  <r>
    <x v="155"/>
    <x v="3"/>
    <x v="122"/>
    <x v="3"/>
    <n v="3352"/>
    <n v="941"/>
    <n v="482"/>
    <n v="43576"/>
    <n v="43338"/>
    <n v="240"/>
    <s v="#FutureOfDriving"/>
    <x v="1"/>
    <n v="0.1095786671562328"/>
    <n v="4775"/>
  </r>
  <r>
    <x v="156"/>
    <x v="1"/>
    <x v="123"/>
    <x v="2"/>
    <n v="4775"/>
    <n v="173"/>
    <n v="206"/>
    <n v="47750"/>
    <n v="47544"/>
    <n v="187"/>
    <s v="#FutureOfDriving"/>
    <x v="1"/>
    <n v="0.10793717277486911"/>
    <n v="5154"/>
  </r>
  <r>
    <x v="157"/>
    <x v="2"/>
    <x v="124"/>
    <x v="2"/>
    <n v="1762"/>
    <n v="405"/>
    <n v="423"/>
    <n v="22906"/>
    <n v="21925"/>
    <n v="25"/>
    <s v="#TeslaCoInnovation"/>
    <x v="0"/>
    <n v="0.11307081114118571"/>
    <n v="2590"/>
  </r>
  <r>
    <x v="158"/>
    <x v="3"/>
    <x v="38"/>
    <x v="2"/>
    <n v="2120"/>
    <n v="158"/>
    <n v="488"/>
    <n v="12720"/>
    <n v="12085"/>
    <n v="17"/>
    <s v="#FutureOfDriving"/>
    <x v="1"/>
    <n v="0.21745283018867925"/>
    <n v="2766"/>
  </r>
  <r>
    <x v="159"/>
    <x v="0"/>
    <x v="125"/>
    <x v="5"/>
    <n v="1082"/>
    <n v="209"/>
    <n v="484"/>
    <n v="19476"/>
    <n v="18654"/>
    <n v="20"/>
    <s v="#TeslaCoInnovation"/>
    <x v="4"/>
    <n v="9.1137810638734856E-2"/>
    <n v="1775"/>
  </r>
  <r>
    <x v="160"/>
    <x v="0"/>
    <x v="126"/>
    <x v="1"/>
    <n v="4671"/>
    <n v="876"/>
    <n v="366"/>
    <n v="51381"/>
    <n v="50565"/>
    <n v="245"/>
    <s v="#TeslaCoInnovation"/>
    <x v="3"/>
    <n v="0.11508145034156594"/>
    <n v="5913"/>
  </r>
  <r>
    <x v="161"/>
    <x v="3"/>
    <x v="127"/>
    <x v="2"/>
    <n v="3430"/>
    <n v="566"/>
    <n v="164"/>
    <n v="48020"/>
    <n v="47305"/>
    <n v="120"/>
    <s v="#FutureOfDriving"/>
    <x v="4"/>
    <n v="8.6630570595585168E-2"/>
    <n v="4160"/>
  </r>
  <r>
    <x v="162"/>
    <x v="2"/>
    <x v="128"/>
    <x v="4"/>
    <n v="4501"/>
    <n v="375"/>
    <n v="323"/>
    <n v="22505"/>
    <n v="21836"/>
    <n v="132"/>
    <s v="#TeslaCoInnovation"/>
    <x v="1"/>
    <n v="0.23101532992668297"/>
    <n v="5199"/>
  </r>
  <r>
    <x v="163"/>
    <x v="1"/>
    <x v="21"/>
    <x v="1"/>
    <n v="4934"/>
    <n v="971"/>
    <n v="156"/>
    <n v="39472"/>
    <n v="39025"/>
    <n v="169"/>
    <s v="#TeslaCoInnovation,#AnytimeIsTeslaTime"/>
    <x v="3"/>
    <n v="0.15355188488042157"/>
    <n v="6061"/>
  </r>
  <r>
    <x v="164"/>
    <x v="0"/>
    <x v="83"/>
    <x v="1"/>
    <n v="3239"/>
    <n v="43"/>
    <n v="211"/>
    <n v="22673"/>
    <n v="22171"/>
    <n v="230"/>
    <s v="#TeslaCoInnovation"/>
    <x v="1"/>
    <n v="0.15405989502933004"/>
    <n v="3493"/>
  </r>
  <r>
    <x v="165"/>
    <x v="0"/>
    <x v="13"/>
    <x v="0"/>
    <n v="1076"/>
    <n v="313"/>
    <n v="306"/>
    <n v="11836"/>
    <n v="11596"/>
    <n v="104"/>
    <s v="#FutureOfDriving"/>
    <x v="0"/>
    <n v="0.14320716458262928"/>
    <n v="1695"/>
  </r>
  <r>
    <x v="166"/>
    <x v="2"/>
    <x v="111"/>
    <x v="1"/>
    <n v="4771"/>
    <n v="818"/>
    <n v="56"/>
    <n v="57252"/>
    <n v="56378"/>
    <n v="150"/>
    <s v="#FutureOfDriving"/>
    <x v="4"/>
    <n v="9.859917557465242E-2"/>
    <n v="5645"/>
  </r>
  <r>
    <x v="167"/>
    <x v="3"/>
    <x v="129"/>
    <x v="1"/>
    <n v="2418"/>
    <n v="754"/>
    <n v="54"/>
    <n v="43524"/>
    <n v="42743"/>
    <n v="182"/>
    <s v="#EVRevolution"/>
    <x v="0"/>
    <n v="7.412002573292896E-2"/>
    <n v="3226"/>
  </r>
  <r>
    <x v="168"/>
    <x v="1"/>
    <x v="130"/>
    <x v="5"/>
    <n v="3809"/>
    <n v="273"/>
    <n v="200"/>
    <n v="34281"/>
    <n v="33534"/>
    <n v="83"/>
    <s v="#EVRevolution"/>
    <x v="0"/>
    <n v="0.12490884163239112"/>
    <n v="4282"/>
  </r>
  <r>
    <x v="169"/>
    <x v="0"/>
    <x v="131"/>
    <x v="1"/>
    <n v="3577"/>
    <n v="596"/>
    <n v="493"/>
    <n v="67963"/>
    <n v="67839"/>
    <n v="53"/>
    <s v="#TeslaCoInnovation"/>
    <x v="2"/>
    <n v="6.8655003457763777E-2"/>
    <n v="4666"/>
  </r>
  <r>
    <x v="170"/>
    <x v="1"/>
    <x v="132"/>
    <x v="5"/>
    <n v="1018"/>
    <n v="447"/>
    <n v="332"/>
    <n v="18324"/>
    <n v="18164"/>
    <n v="38"/>
    <s v="#FutureOfDriving"/>
    <x v="1"/>
    <n v="9.8068107400130972E-2"/>
    <n v="1797"/>
  </r>
  <r>
    <x v="171"/>
    <x v="3"/>
    <x v="133"/>
    <x v="3"/>
    <n v="3073"/>
    <n v="553"/>
    <n v="174"/>
    <n v="52241"/>
    <n v="51605"/>
    <n v="246"/>
    <s v="#EVRevolution"/>
    <x v="2"/>
    <n v="7.2739802071170159E-2"/>
    <n v="3800"/>
  </r>
  <r>
    <x v="172"/>
    <x v="0"/>
    <x v="134"/>
    <x v="5"/>
    <n v="1330"/>
    <n v="925"/>
    <n v="35"/>
    <n v="15960"/>
    <n v="15379"/>
    <n v="229"/>
    <s v="#FutureOfDriving"/>
    <x v="2"/>
    <n v="0.14348370927318296"/>
    <n v="2290"/>
  </r>
  <r>
    <x v="173"/>
    <x v="3"/>
    <x v="56"/>
    <x v="1"/>
    <n v="3828"/>
    <n v="148"/>
    <n v="253"/>
    <n v="30624"/>
    <n v="30229"/>
    <n v="235"/>
    <s v="#EVRevolution"/>
    <x v="4"/>
    <n v="0.13809430512016718"/>
    <n v="4229"/>
  </r>
  <r>
    <x v="174"/>
    <x v="2"/>
    <x v="135"/>
    <x v="0"/>
    <n v="142"/>
    <n v="784"/>
    <n v="183"/>
    <n v="1704"/>
    <n v="995"/>
    <n v="154"/>
    <s v="#FutureOfDriving"/>
    <x v="3"/>
    <n v="0.6508215962441315"/>
    <n v="1109"/>
  </r>
  <r>
    <x v="175"/>
    <x v="3"/>
    <x v="136"/>
    <x v="5"/>
    <n v="3798"/>
    <n v="31"/>
    <n v="279"/>
    <n v="75960"/>
    <n v="75813"/>
    <n v="266"/>
    <s v="#TeslaCoInnovation"/>
    <x v="0"/>
    <n v="5.4081095313322801E-2"/>
    <n v="4108"/>
  </r>
  <r>
    <x v="176"/>
    <x v="2"/>
    <x v="137"/>
    <x v="3"/>
    <n v="3099"/>
    <n v="694"/>
    <n v="171"/>
    <n v="43386"/>
    <n v="42921"/>
    <n v="52"/>
    <s v="#TeslaCoInnovation"/>
    <x v="2"/>
    <n v="9.1365878393951966E-2"/>
    <n v="3964"/>
  </r>
  <r>
    <x v="177"/>
    <x v="2"/>
    <x v="71"/>
    <x v="5"/>
    <n v="129"/>
    <n v="643"/>
    <n v="136"/>
    <n v="1290"/>
    <n v="839"/>
    <n v="238"/>
    <s v="#TeslaCoInnovation"/>
    <x v="3"/>
    <n v="0.70387596899224802"/>
    <n v="908"/>
  </r>
  <r>
    <x v="178"/>
    <x v="3"/>
    <x v="114"/>
    <x v="3"/>
    <n v="3796"/>
    <n v="667"/>
    <n v="395"/>
    <n v="64532"/>
    <n v="63550"/>
    <n v="292"/>
    <s v="#TeslaCoInnovation"/>
    <x v="4"/>
    <n v="7.5280481001673588E-2"/>
    <n v="4858"/>
  </r>
  <r>
    <x v="179"/>
    <x v="1"/>
    <x v="130"/>
    <x v="1"/>
    <n v="3711"/>
    <n v="352"/>
    <n v="290"/>
    <n v="48243"/>
    <n v="47579"/>
    <n v="11"/>
    <s v="#TeslaCoInnovation"/>
    <x v="0"/>
    <n v="9.023070704558174E-2"/>
    <n v="4353"/>
  </r>
  <r>
    <x v="180"/>
    <x v="1"/>
    <x v="138"/>
    <x v="4"/>
    <n v="606"/>
    <n v="789"/>
    <n v="470"/>
    <n v="7878"/>
    <n v="7389"/>
    <n v="239"/>
    <s v="#EVRevolution"/>
    <x v="2"/>
    <n v="0.23673521198273673"/>
    <n v="1865"/>
  </r>
  <r>
    <x v="181"/>
    <x v="3"/>
    <x v="31"/>
    <x v="4"/>
    <n v="4689"/>
    <n v="134"/>
    <n v="403"/>
    <n v="51579"/>
    <n v="50924"/>
    <n v="173"/>
    <s v="#TeslaCoInnovation"/>
    <x v="3"/>
    <n v="0.10132030477519921"/>
    <n v="5226"/>
  </r>
  <r>
    <x v="182"/>
    <x v="2"/>
    <x v="139"/>
    <x v="2"/>
    <n v="360"/>
    <n v="590"/>
    <n v="393"/>
    <n v="4680"/>
    <n v="4322"/>
    <n v="208"/>
    <s v="#FutureOfDriving"/>
    <x v="1"/>
    <n v="0.28696581196581195"/>
    <n v="1343"/>
  </r>
  <r>
    <x v="183"/>
    <x v="0"/>
    <x v="140"/>
    <x v="4"/>
    <n v="3215"/>
    <n v="960"/>
    <n v="202"/>
    <n v="32150"/>
    <n v="31404"/>
    <n v="251"/>
    <s v="#EVRevolution"/>
    <x v="0"/>
    <n v="0.13614307931570763"/>
    <n v="4377"/>
  </r>
  <r>
    <x v="184"/>
    <x v="2"/>
    <x v="141"/>
    <x v="3"/>
    <n v="4523"/>
    <n v="61"/>
    <n v="157"/>
    <n v="49753"/>
    <n v="49329"/>
    <n v="71"/>
    <s v="#EVRevolution"/>
    <x v="4"/>
    <n v="9.5290736237010829E-2"/>
    <n v="4741"/>
  </r>
  <r>
    <x v="185"/>
    <x v="3"/>
    <x v="125"/>
    <x v="3"/>
    <n v="4292"/>
    <n v="51"/>
    <n v="392"/>
    <n v="55796"/>
    <n v="54826"/>
    <n v="264"/>
    <s v="#EVRevolution"/>
    <x v="2"/>
    <n v="8.4862714173059003E-2"/>
    <n v="4735"/>
  </r>
  <r>
    <x v="186"/>
    <x v="0"/>
    <x v="142"/>
    <x v="0"/>
    <n v="1644"/>
    <n v="546"/>
    <n v="150"/>
    <n v="27948"/>
    <n v="27184"/>
    <n v="300"/>
    <s v="#EVRevolution"/>
    <x v="2"/>
    <n v="8.3726921425504502E-2"/>
    <n v="2340"/>
  </r>
  <r>
    <x v="187"/>
    <x v="1"/>
    <x v="78"/>
    <x v="0"/>
    <n v="2728"/>
    <n v="533"/>
    <n v="215"/>
    <n v="40920"/>
    <n v="40816"/>
    <n v="137"/>
    <s v="#FutureOfDriving"/>
    <x v="1"/>
    <n v="8.4946236559139784E-2"/>
    <n v="3476"/>
  </r>
  <r>
    <x v="188"/>
    <x v="3"/>
    <x v="82"/>
    <x v="0"/>
    <n v="3360"/>
    <n v="525"/>
    <n v="500"/>
    <n v="60480"/>
    <n v="59610"/>
    <n v="192"/>
    <s v="#TeslaCoInnovation"/>
    <x v="0"/>
    <n v="7.2503306878306875E-2"/>
    <n v="4385"/>
  </r>
  <r>
    <x v="189"/>
    <x v="1"/>
    <x v="143"/>
    <x v="1"/>
    <n v="1963"/>
    <n v="213"/>
    <n v="19"/>
    <n v="39260"/>
    <n v="38771"/>
    <n v="145"/>
    <s v="#FutureOfDriving"/>
    <x v="4"/>
    <n v="5.5909322465613857E-2"/>
    <n v="2195"/>
  </r>
  <r>
    <x v="190"/>
    <x v="1"/>
    <x v="130"/>
    <x v="2"/>
    <n v="4285"/>
    <n v="886"/>
    <n v="376"/>
    <n v="55705"/>
    <n v="55556"/>
    <n v="51"/>
    <s v="#FutureOfDriving"/>
    <x v="2"/>
    <n v="9.9578134817341346E-2"/>
    <n v="5547"/>
  </r>
  <r>
    <x v="191"/>
    <x v="2"/>
    <x v="144"/>
    <x v="5"/>
    <n v="1176"/>
    <n v="464"/>
    <n v="394"/>
    <n v="14112"/>
    <n v="13588"/>
    <n v="272"/>
    <s v="#EVRevolution"/>
    <x v="4"/>
    <n v="0.1441326530612245"/>
    <n v="2034"/>
  </r>
  <r>
    <x v="192"/>
    <x v="0"/>
    <x v="145"/>
    <x v="4"/>
    <n v="4858"/>
    <n v="317"/>
    <n v="129"/>
    <n v="53438"/>
    <n v="52687"/>
    <n v="223"/>
    <s v="#EVRevolution"/>
    <x v="2"/>
    <n v="9.9255211647142488E-2"/>
    <n v="5304"/>
  </r>
  <r>
    <x v="193"/>
    <x v="1"/>
    <x v="100"/>
    <x v="2"/>
    <n v="4350"/>
    <n v="771"/>
    <n v="7"/>
    <n v="60900"/>
    <n v="60592"/>
    <n v="195"/>
    <s v="#EVRevolution"/>
    <x v="0"/>
    <n v="8.4203612479474554E-2"/>
    <n v="5128"/>
  </r>
  <r>
    <x v="194"/>
    <x v="2"/>
    <x v="146"/>
    <x v="3"/>
    <n v="914"/>
    <n v="464"/>
    <n v="246"/>
    <n v="11882"/>
    <n v="11500"/>
    <n v="282"/>
    <s v="#FutureOfDriving,#TeslaCoInnovation,#AnytimeIsTeslaTime"/>
    <x v="3"/>
    <n v="0.13667732704931829"/>
    <n v="1624"/>
  </r>
  <r>
    <x v="195"/>
    <x v="2"/>
    <x v="147"/>
    <x v="1"/>
    <n v="1813"/>
    <n v="623"/>
    <n v="72"/>
    <n v="19943"/>
    <n v="18959"/>
    <n v="85"/>
    <s v="#EVRevolution"/>
    <x v="2"/>
    <n v="0.12575841147269717"/>
    <n v="2508"/>
  </r>
  <r>
    <x v="196"/>
    <x v="0"/>
    <x v="122"/>
    <x v="0"/>
    <n v="4782"/>
    <n v="721"/>
    <n v="82"/>
    <n v="86076"/>
    <n v="85339"/>
    <n v="19"/>
    <s v="#EVRevolution"/>
    <x v="0"/>
    <n v="6.4884520656164318E-2"/>
    <n v="5585"/>
  </r>
  <r>
    <x v="197"/>
    <x v="0"/>
    <x v="148"/>
    <x v="4"/>
    <n v="1048"/>
    <n v="374"/>
    <n v="450"/>
    <n v="9432"/>
    <n v="8882"/>
    <n v="158"/>
    <s v="#TeslaCoInnovation"/>
    <x v="2"/>
    <n v="0.19847328244274809"/>
    <n v="1872"/>
  </r>
  <r>
    <x v="198"/>
    <x v="1"/>
    <x v="34"/>
    <x v="3"/>
    <n v="2509"/>
    <n v="324"/>
    <n v="171"/>
    <n v="35126"/>
    <n v="34685"/>
    <n v="277"/>
    <s v="#TeslaCoInnovation"/>
    <x v="1"/>
    <n v="8.5520696919660646E-2"/>
    <n v="3004"/>
  </r>
  <r>
    <x v="199"/>
    <x v="3"/>
    <x v="149"/>
    <x v="0"/>
    <n v="3718"/>
    <n v="385"/>
    <n v="310"/>
    <n v="70642"/>
    <n v="69749"/>
    <n v="233"/>
    <s v="#TeslaCoInnovation"/>
    <x v="1"/>
    <n v="6.246991874522239E-2"/>
    <n v="4413"/>
  </r>
  <r>
    <x v="200"/>
    <x v="0"/>
    <x v="150"/>
    <x v="0"/>
    <n v="802"/>
    <n v="262"/>
    <n v="244"/>
    <n v="14436"/>
    <n v="14280"/>
    <n v="49"/>
    <s v="#EVRevolution"/>
    <x v="0"/>
    <n v="9.0606816292601824E-2"/>
    <n v="1308"/>
  </r>
  <r>
    <x v="201"/>
    <x v="3"/>
    <x v="151"/>
    <x v="4"/>
    <n v="1871"/>
    <n v="252"/>
    <n v="335"/>
    <n v="29936"/>
    <n v="29576"/>
    <n v="288"/>
    <s v="#EVRevolution"/>
    <x v="2"/>
    <n v="8.2108498129342594E-2"/>
    <n v="2458"/>
  </r>
  <r>
    <x v="202"/>
    <x v="2"/>
    <x v="152"/>
    <x v="3"/>
    <n v="3773"/>
    <n v="299"/>
    <n v="38"/>
    <n v="71687"/>
    <n v="71447"/>
    <n v="286"/>
    <s v="#FutureOfDriving"/>
    <x v="0"/>
    <n v="5.7332570758993957E-2"/>
    <n v="4110"/>
  </r>
  <r>
    <x v="203"/>
    <x v="2"/>
    <x v="120"/>
    <x v="3"/>
    <n v="2234"/>
    <n v="653"/>
    <n v="432"/>
    <n v="11170"/>
    <n v="10569"/>
    <n v="198"/>
    <s v="#FutureOfDriving"/>
    <x v="2"/>
    <n v="0.29713518352730528"/>
    <n v="3319"/>
  </r>
  <r>
    <x v="204"/>
    <x v="0"/>
    <x v="110"/>
    <x v="5"/>
    <n v="3820"/>
    <n v="697"/>
    <n v="268"/>
    <n v="45840"/>
    <n v="45631"/>
    <n v="171"/>
    <s v="#TeslaCoInnovation,#SmoothLikeNitroTesla"/>
    <x v="3"/>
    <n v="0.1043848167539267"/>
    <n v="4785"/>
  </r>
  <r>
    <x v="205"/>
    <x v="0"/>
    <x v="6"/>
    <x v="1"/>
    <n v="941"/>
    <n v="121"/>
    <n v="458"/>
    <n v="14115"/>
    <n v="13838"/>
    <n v="87"/>
    <s v="#EVRevolution"/>
    <x v="0"/>
    <n v="0.10768685795253277"/>
    <n v="1520"/>
  </r>
  <r>
    <x v="206"/>
    <x v="0"/>
    <x v="153"/>
    <x v="3"/>
    <n v="4274"/>
    <n v="340"/>
    <n v="281"/>
    <n v="34192"/>
    <n v="33446"/>
    <n v="129"/>
    <s v="#TeslaCoInnovation,#SmoothLikeNitroTesla"/>
    <x v="2"/>
    <n v="0.14316214319138981"/>
    <n v="4895"/>
  </r>
  <r>
    <x v="207"/>
    <x v="1"/>
    <x v="6"/>
    <x v="5"/>
    <n v="2949"/>
    <n v="476"/>
    <n v="403"/>
    <n v="44235"/>
    <n v="43705"/>
    <n v="135"/>
    <s v="#TeslaCoInnovation"/>
    <x v="1"/>
    <n v="8.6537809426924378E-2"/>
    <n v="3828"/>
  </r>
  <r>
    <x v="208"/>
    <x v="0"/>
    <x v="154"/>
    <x v="5"/>
    <n v="3160"/>
    <n v="204"/>
    <n v="297"/>
    <n v="44240"/>
    <n v="43666"/>
    <n v="49"/>
    <s v="#FutureOfDriving,#AnytimeIsTeslaTime"/>
    <x v="3"/>
    <n v="8.2753164556962022E-2"/>
    <n v="3661"/>
  </r>
  <r>
    <x v="209"/>
    <x v="1"/>
    <x v="126"/>
    <x v="4"/>
    <n v="257"/>
    <n v="966"/>
    <n v="398"/>
    <n v="3341"/>
    <n v="2753"/>
    <n v="287"/>
    <s v="#FutureOfDriving"/>
    <x v="0"/>
    <n v="0.48518407662376534"/>
    <n v="1621"/>
  </r>
  <r>
    <x v="210"/>
    <x v="0"/>
    <x v="155"/>
    <x v="3"/>
    <n v="2120"/>
    <n v="38"/>
    <n v="212"/>
    <n v="12720"/>
    <n v="12564"/>
    <n v="21"/>
    <s v="#FutureOfDriving"/>
    <x v="3"/>
    <n v="0.18632075471698112"/>
    <n v="2370"/>
  </r>
  <r>
    <x v="211"/>
    <x v="1"/>
    <x v="67"/>
    <x v="5"/>
    <n v="3874"/>
    <n v="884"/>
    <n v="19"/>
    <n v="38740"/>
    <n v="38552"/>
    <n v="219"/>
    <s v="#TeslaCoInnovation"/>
    <x v="1"/>
    <n v="0.123309241094476"/>
    <n v="4777"/>
  </r>
  <r>
    <x v="212"/>
    <x v="3"/>
    <x v="156"/>
    <x v="3"/>
    <n v="2696"/>
    <n v="628"/>
    <n v="443"/>
    <n v="45832"/>
    <n v="45632"/>
    <n v="248"/>
    <s v="#EVRevolution"/>
    <x v="3"/>
    <n v="8.21914819340199E-2"/>
    <n v="3767"/>
  </r>
  <r>
    <x v="213"/>
    <x v="2"/>
    <x v="0"/>
    <x v="4"/>
    <n v="521"/>
    <n v="746"/>
    <n v="315"/>
    <n v="4168"/>
    <n v="3399"/>
    <n v="282"/>
    <s v="#FutureOfDriving"/>
    <x v="1"/>
    <n v="0.37955854126679461"/>
    <n v="1582"/>
  </r>
  <r>
    <x v="214"/>
    <x v="3"/>
    <x v="157"/>
    <x v="4"/>
    <n v="4872"/>
    <n v="925"/>
    <n v="176"/>
    <n v="82824"/>
    <n v="82543"/>
    <n v="89"/>
    <s v="#EVRevolution"/>
    <x v="1"/>
    <n v="7.2116777745580993E-2"/>
    <n v="5973"/>
  </r>
  <r>
    <x v="215"/>
    <x v="1"/>
    <x v="97"/>
    <x v="2"/>
    <n v="1509"/>
    <n v="88"/>
    <n v="163"/>
    <n v="30180"/>
    <n v="29689"/>
    <n v="119"/>
    <s v="#EVRevolution"/>
    <x v="1"/>
    <n v="5.8316766070245198E-2"/>
    <n v="1760"/>
  </r>
  <r>
    <x v="216"/>
    <x v="3"/>
    <x v="130"/>
    <x v="4"/>
    <n v="4606"/>
    <n v="931"/>
    <n v="230"/>
    <n v="92120"/>
    <n v="91440"/>
    <n v="56"/>
    <s v="#TeslaCoInnovation"/>
    <x v="4"/>
    <n v="6.2603126356925748E-2"/>
    <n v="5767"/>
  </r>
  <r>
    <x v="217"/>
    <x v="3"/>
    <x v="90"/>
    <x v="3"/>
    <n v="1869"/>
    <n v="453"/>
    <n v="490"/>
    <n v="14952"/>
    <n v="14309"/>
    <n v="275"/>
    <s v="#TeslaCoInnovation"/>
    <x v="3"/>
    <n v="0.18806848582129482"/>
    <n v="2812"/>
  </r>
  <r>
    <x v="218"/>
    <x v="0"/>
    <x v="57"/>
    <x v="0"/>
    <n v="1188"/>
    <n v="470"/>
    <n v="174"/>
    <n v="7128"/>
    <n v="6145"/>
    <n v="270"/>
    <s v="#TeslaCoInnovation"/>
    <x v="3"/>
    <n v="0.25701459034792368"/>
    <n v="1832"/>
  </r>
  <r>
    <x v="219"/>
    <x v="2"/>
    <x v="151"/>
    <x v="2"/>
    <n v="84"/>
    <n v="897"/>
    <n v="85"/>
    <n v="588"/>
    <n v="8"/>
    <n v="12"/>
    <s v="#EVRevolution"/>
    <x v="4"/>
    <n v="1.8129251700680271"/>
    <n v="1066"/>
  </r>
  <r>
    <x v="220"/>
    <x v="3"/>
    <x v="91"/>
    <x v="5"/>
    <n v="4453"/>
    <n v="111"/>
    <n v="420"/>
    <n v="31171"/>
    <n v="30565"/>
    <n v="23"/>
    <s v="#TeslaCoInnovation"/>
    <x v="4"/>
    <n v="0.15989220750056141"/>
    <n v="4984"/>
  </r>
  <r>
    <x v="221"/>
    <x v="3"/>
    <x v="158"/>
    <x v="0"/>
    <n v="1814"/>
    <n v="653"/>
    <n v="363"/>
    <n v="25396"/>
    <n v="25286"/>
    <n v="39"/>
    <s v="#FutureOfDriving,#SmoothLikeNitroTesla"/>
    <x v="0"/>
    <n v="0.11143487163332809"/>
    <n v="2830"/>
  </r>
  <r>
    <x v="222"/>
    <x v="0"/>
    <x v="129"/>
    <x v="4"/>
    <n v="3338"/>
    <n v="277"/>
    <n v="118"/>
    <n v="60084"/>
    <n v="59842"/>
    <n v="252"/>
    <s v="#TeslaCoInnovation"/>
    <x v="4"/>
    <n v="6.2129685107516146E-2"/>
    <n v="3733"/>
  </r>
  <r>
    <x v="223"/>
    <x v="3"/>
    <x v="159"/>
    <x v="4"/>
    <n v="602"/>
    <n v="594"/>
    <n v="156"/>
    <n v="4214"/>
    <n v="3363"/>
    <n v="164"/>
    <s v="#TeslaCoInnovation"/>
    <x v="2"/>
    <n v="0.32083531086853345"/>
    <n v="1352"/>
  </r>
  <r>
    <x v="224"/>
    <x v="0"/>
    <x v="136"/>
    <x v="3"/>
    <n v="4672"/>
    <n v="325"/>
    <n v="32"/>
    <n v="88768"/>
    <n v="87833"/>
    <n v="118"/>
    <s v="#EVRevolution"/>
    <x v="4"/>
    <n v="5.6653298485940883E-2"/>
    <n v="5029"/>
  </r>
  <r>
    <x v="225"/>
    <x v="2"/>
    <x v="160"/>
    <x v="3"/>
    <n v="1741"/>
    <n v="164"/>
    <n v="318"/>
    <n v="8705"/>
    <n v="8272"/>
    <n v="121"/>
    <s v="#TeslaCoInnovation"/>
    <x v="4"/>
    <n v="0.25537047673750718"/>
    <n v="2223"/>
  </r>
  <r>
    <x v="226"/>
    <x v="2"/>
    <x v="161"/>
    <x v="1"/>
    <n v="246"/>
    <n v="149"/>
    <n v="130"/>
    <n v="4674"/>
    <n v="4390"/>
    <n v="217"/>
    <s v="#FutureOfDriving"/>
    <x v="2"/>
    <n v="0.11232349165596919"/>
    <n v="525"/>
  </r>
  <r>
    <x v="227"/>
    <x v="2"/>
    <x v="162"/>
    <x v="2"/>
    <n v="4808"/>
    <n v="772"/>
    <n v="320"/>
    <n v="72120"/>
    <n v="71696"/>
    <n v="195"/>
    <s v="#EVRevolution"/>
    <x v="0"/>
    <n v="8.1808097615085965E-2"/>
    <n v="5900"/>
  </r>
  <r>
    <x v="228"/>
    <x v="2"/>
    <x v="48"/>
    <x v="3"/>
    <n v="4799"/>
    <n v="694"/>
    <n v="289"/>
    <n v="43191"/>
    <n v="42228"/>
    <n v="118"/>
    <s v="#TeslaCoInnovation"/>
    <x v="4"/>
    <n v="0.13387048227640017"/>
    <n v="5782"/>
  </r>
  <r>
    <x v="229"/>
    <x v="3"/>
    <x v="114"/>
    <x v="0"/>
    <n v="3663"/>
    <n v="17"/>
    <n v="295"/>
    <n v="51282"/>
    <n v="50567"/>
    <n v="84"/>
    <s v="#EVRevolution"/>
    <x v="2"/>
    <n v="7.7512577512577507E-2"/>
    <n v="3975"/>
  </r>
  <r>
    <x v="230"/>
    <x v="2"/>
    <x v="156"/>
    <x v="1"/>
    <n v="1430"/>
    <n v="376"/>
    <n v="33"/>
    <n v="21450"/>
    <n v="20509"/>
    <n v="251"/>
    <s v="#FutureOfDriving"/>
    <x v="0"/>
    <n v="8.5734265734265735E-2"/>
    <n v="1839"/>
  </r>
  <r>
    <x v="231"/>
    <x v="0"/>
    <x v="163"/>
    <x v="2"/>
    <n v="249"/>
    <n v="592"/>
    <n v="230"/>
    <n v="1494"/>
    <n v="1044"/>
    <n v="201"/>
    <s v="#EVRevolution"/>
    <x v="3"/>
    <n v="0.7168674698795181"/>
    <n v="1071"/>
  </r>
  <r>
    <x v="232"/>
    <x v="3"/>
    <x v="40"/>
    <x v="4"/>
    <n v="2382"/>
    <n v="265"/>
    <n v="134"/>
    <n v="38112"/>
    <n v="37437"/>
    <n v="249"/>
    <s v="#FutureOfDriving"/>
    <x v="3"/>
    <n v="7.2969143576826198E-2"/>
    <n v="2781"/>
  </r>
  <r>
    <x v="233"/>
    <x v="3"/>
    <x v="164"/>
    <x v="1"/>
    <n v="1272"/>
    <n v="465"/>
    <n v="99"/>
    <n v="24168"/>
    <n v="23719"/>
    <n v="42"/>
    <s v="#TeslaCoInnovation"/>
    <x v="4"/>
    <n v="7.5968222442899705E-2"/>
    <n v="1836"/>
  </r>
  <r>
    <x v="234"/>
    <x v="3"/>
    <x v="142"/>
    <x v="4"/>
    <n v="3196"/>
    <n v="941"/>
    <n v="376"/>
    <n v="35156"/>
    <n v="34444"/>
    <n v="241"/>
    <s v="#TeslaCoInnovation"/>
    <x v="2"/>
    <n v="0.1283706906360223"/>
    <n v="4513"/>
  </r>
  <r>
    <x v="235"/>
    <x v="3"/>
    <x v="17"/>
    <x v="1"/>
    <n v="1257"/>
    <n v="19"/>
    <n v="351"/>
    <n v="12570"/>
    <n v="11660"/>
    <n v="194"/>
    <s v="#FutureOfDriving,#AnytimeIsTeslaTime,#EVRevolution"/>
    <x v="1"/>
    <n v="0.12943516308671441"/>
    <n v="1627"/>
  </r>
  <r>
    <x v="236"/>
    <x v="2"/>
    <x v="122"/>
    <x v="2"/>
    <n v="3770"/>
    <n v="917"/>
    <n v="129"/>
    <n v="71630"/>
    <n v="71322"/>
    <n v="76"/>
    <s v="#FutureOfDriving"/>
    <x v="0"/>
    <n v="6.7234398994834563E-2"/>
    <n v="4816"/>
  </r>
  <r>
    <x v="237"/>
    <x v="0"/>
    <x v="165"/>
    <x v="1"/>
    <n v="4725"/>
    <n v="400"/>
    <n v="362"/>
    <n v="75600"/>
    <n v="74927"/>
    <n v="43"/>
    <s v="#FutureOfDriving"/>
    <x v="3"/>
    <n v="7.2579365079365077E-2"/>
    <n v="5487"/>
  </r>
  <r>
    <x v="238"/>
    <x v="1"/>
    <x v="46"/>
    <x v="1"/>
    <n v="4188"/>
    <n v="942"/>
    <n v="118"/>
    <n v="20940"/>
    <n v="20471"/>
    <n v="102"/>
    <s v="#FutureOfDriving"/>
    <x v="4"/>
    <n v="0.25062082139446035"/>
    <n v="5248"/>
  </r>
  <r>
    <x v="239"/>
    <x v="0"/>
    <x v="15"/>
    <x v="3"/>
    <n v="929"/>
    <n v="192"/>
    <n v="322"/>
    <n v="16722"/>
    <n v="15996"/>
    <n v="145"/>
    <s v="#EVRevolution,#TeslaCoInnovation,#AnytimeIsTeslaTime"/>
    <x v="2"/>
    <n v="8.6293505561535699E-2"/>
    <n v="1443"/>
  </r>
  <r>
    <x v="240"/>
    <x v="3"/>
    <x v="166"/>
    <x v="2"/>
    <n v="4321"/>
    <n v="874"/>
    <n v="172"/>
    <n v="30247"/>
    <n v="29254"/>
    <n v="122"/>
    <s v="#TeslaCoInnovation"/>
    <x v="3"/>
    <n v="0.17743908486792079"/>
    <n v="5367"/>
  </r>
  <r>
    <x v="241"/>
    <x v="3"/>
    <x v="79"/>
    <x v="0"/>
    <n v="4767"/>
    <n v="190"/>
    <n v="340"/>
    <n v="28602"/>
    <n v="28044"/>
    <n v="210"/>
    <s v="#EVRevolution"/>
    <x v="2"/>
    <n v="0.18519683938186141"/>
    <n v="5297"/>
  </r>
  <r>
    <x v="242"/>
    <x v="0"/>
    <x v="167"/>
    <x v="4"/>
    <n v="3592"/>
    <n v="911"/>
    <n v="375"/>
    <n v="50288"/>
    <n v="49490"/>
    <n v="32"/>
    <s v="#FutureOfDriving"/>
    <x v="3"/>
    <n v="9.7001272669424113E-2"/>
    <n v="4878"/>
  </r>
  <r>
    <x v="243"/>
    <x v="1"/>
    <x v="168"/>
    <x v="5"/>
    <n v="4661"/>
    <n v="935"/>
    <n v="433"/>
    <n v="23305"/>
    <n v="22583"/>
    <n v="63"/>
    <s v="#FutureOfDriving"/>
    <x v="2"/>
    <n v="0.25869984981763572"/>
    <n v="6029"/>
  </r>
  <r>
    <x v="244"/>
    <x v="3"/>
    <x v="169"/>
    <x v="0"/>
    <n v="4134"/>
    <n v="824"/>
    <n v="99"/>
    <n v="41340"/>
    <n v="41050"/>
    <n v="177"/>
    <s v="#EVRevolution"/>
    <x v="0"/>
    <n v="0.12232704402515723"/>
    <n v="5057"/>
  </r>
  <r>
    <x v="245"/>
    <x v="3"/>
    <x v="170"/>
    <x v="4"/>
    <n v="400"/>
    <n v="680"/>
    <n v="434"/>
    <n v="6400"/>
    <n v="5472"/>
    <n v="160"/>
    <s v="#FutureOfDriving"/>
    <x v="1"/>
    <n v="0.23656250000000001"/>
    <n v="1514"/>
  </r>
  <r>
    <x v="246"/>
    <x v="3"/>
    <x v="171"/>
    <x v="0"/>
    <n v="3960"/>
    <n v="266"/>
    <n v="8"/>
    <n v="35640"/>
    <n v="34850"/>
    <n v="208"/>
    <s v="#FutureOfDriving,#EVRevolution,#BetterWithTesla"/>
    <x v="4"/>
    <n v="0.11879910213243547"/>
    <n v="4234"/>
  </r>
  <r>
    <x v="247"/>
    <x v="3"/>
    <x v="10"/>
    <x v="2"/>
    <n v="886"/>
    <n v="126"/>
    <n v="153"/>
    <n v="4430"/>
    <n v="4037"/>
    <n v="212"/>
    <s v="#EVRevolution"/>
    <x v="4"/>
    <n v="0.26297968397291194"/>
    <n v="1165"/>
  </r>
  <r>
    <x v="248"/>
    <x v="0"/>
    <x v="155"/>
    <x v="4"/>
    <n v="827"/>
    <n v="77"/>
    <n v="402"/>
    <n v="14886"/>
    <n v="14129"/>
    <n v="254"/>
    <s v="#EVRevolution"/>
    <x v="1"/>
    <n v="8.7733440816874911E-2"/>
    <n v="1306"/>
  </r>
  <r>
    <x v="249"/>
    <x v="3"/>
    <x v="56"/>
    <x v="0"/>
    <n v="3813"/>
    <n v="935"/>
    <n v="274"/>
    <n v="68634"/>
    <n v="68488"/>
    <n v="251"/>
    <s v="#FutureOfDriving"/>
    <x v="4"/>
    <n v="7.3170731707317069E-2"/>
    <n v="5022"/>
  </r>
  <r>
    <x v="250"/>
    <x v="2"/>
    <x v="172"/>
    <x v="3"/>
    <n v="1377"/>
    <n v="796"/>
    <n v="387"/>
    <n v="22032"/>
    <n v="21869"/>
    <n v="189"/>
    <s v="#FutureOfDriving"/>
    <x v="4"/>
    <n v="0.11619462599854757"/>
    <n v="2560"/>
  </r>
  <r>
    <x v="251"/>
    <x v="3"/>
    <x v="131"/>
    <x v="3"/>
    <n v="2089"/>
    <n v="476"/>
    <n v="69"/>
    <n v="16712"/>
    <n v="16309"/>
    <n v="64"/>
    <s v="#FutureOfDriving"/>
    <x v="2"/>
    <n v="0.15761129727142173"/>
    <n v="2634"/>
  </r>
  <r>
    <x v="252"/>
    <x v="0"/>
    <x v="173"/>
    <x v="0"/>
    <n v="3791"/>
    <n v="593"/>
    <n v="228"/>
    <n v="53074"/>
    <n v="52613"/>
    <n v="205"/>
    <s v="#EVRevolution"/>
    <x v="4"/>
    <n v="8.6897539284772202E-2"/>
    <n v="4612"/>
  </r>
  <r>
    <x v="253"/>
    <x v="0"/>
    <x v="174"/>
    <x v="4"/>
    <n v="2692"/>
    <n v="115"/>
    <n v="64"/>
    <n v="21536"/>
    <n v="21120"/>
    <n v="224"/>
    <s v="#FutureOfDriving"/>
    <x v="1"/>
    <n v="0.13331166419019316"/>
    <n v="2871"/>
  </r>
  <r>
    <x v="254"/>
    <x v="3"/>
    <x v="1"/>
    <x v="2"/>
    <n v="3767"/>
    <n v="514"/>
    <n v="238"/>
    <n v="37670"/>
    <n v="36807"/>
    <n v="226"/>
    <s v="#FutureOfDriving"/>
    <x v="3"/>
    <n v="0.11996283514733209"/>
    <n v="4519"/>
  </r>
  <r>
    <x v="255"/>
    <x v="1"/>
    <x v="89"/>
    <x v="3"/>
    <n v="2143"/>
    <n v="12"/>
    <n v="204"/>
    <n v="40717"/>
    <n v="40125"/>
    <n v="248"/>
    <s v="#EVRevolution"/>
    <x v="1"/>
    <n v="5.7936488444630008E-2"/>
    <n v="2359"/>
  </r>
  <r>
    <x v="256"/>
    <x v="3"/>
    <x v="106"/>
    <x v="4"/>
    <n v="3090"/>
    <n v="697"/>
    <n v="164"/>
    <n v="49440"/>
    <n v="48524"/>
    <n v="25"/>
    <s v="#EVRevolution,#EVRevolution,#BetterWithTesla"/>
    <x v="1"/>
    <n v="7.9915048543689318E-2"/>
    <n v="3951"/>
  </r>
  <r>
    <x v="257"/>
    <x v="2"/>
    <x v="175"/>
    <x v="2"/>
    <n v="3601"/>
    <n v="695"/>
    <n v="75"/>
    <n v="21606"/>
    <n v="21454"/>
    <n v="172"/>
    <s v="#EVRevolution"/>
    <x v="1"/>
    <n v="0.2023049153013052"/>
    <n v="4371"/>
  </r>
  <r>
    <x v="258"/>
    <x v="3"/>
    <x v="88"/>
    <x v="1"/>
    <n v="562"/>
    <n v="158"/>
    <n v="149"/>
    <n v="3372"/>
    <n v="2940"/>
    <n v="93"/>
    <s v="#TeslaCoInnovation"/>
    <x v="0"/>
    <n v="0.25771055753262156"/>
    <n v="869"/>
  </r>
  <r>
    <x v="259"/>
    <x v="2"/>
    <x v="176"/>
    <x v="2"/>
    <n v="4332"/>
    <n v="771"/>
    <n v="219"/>
    <n v="60648"/>
    <n v="60397"/>
    <n v="10"/>
    <s v="#TeslaCoInnovation,#EVRevolution,#BetterWithTesla"/>
    <x v="2"/>
    <n v="8.7752275425405618E-2"/>
    <n v="5322"/>
  </r>
  <r>
    <x v="260"/>
    <x v="2"/>
    <x v="177"/>
    <x v="4"/>
    <n v="4853"/>
    <n v="837"/>
    <n v="340"/>
    <n v="72795"/>
    <n v="72237"/>
    <n v="170"/>
    <s v="#EVRevolution"/>
    <x v="0"/>
    <n v="8.2835359571399134E-2"/>
    <n v="6030"/>
  </r>
  <r>
    <x v="261"/>
    <x v="1"/>
    <x v="166"/>
    <x v="4"/>
    <n v="1206"/>
    <n v="238"/>
    <n v="36"/>
    <n v="9648"/>
    <n v="9417"/>
    <n v="237"/>
    <s v="#TeslaCoInnovation"/>
    <x v="4"/>
    <n v="0.15339966832504145"/>
    <n v="1480"/>
  </r>
  <r>
    <x v="262"/>
    <x v="2"/>
    <x v="178"/>
    <x v="0"/>
    <n v="2603"/>
    <n v="690"/>
    <n v="205"/>
    <n v="13015"/>
    <n v="12130"/>
    <n v="20"/>
    <s v="#FutureOfDriving"/>
    <x v="1"/>
    <n v="0.26876680752977333"/>
    <n v="3498"/>
  </r>
  <r>
    <x v="263"/>
    <x v="0"/>
    <x v="179"/>
    <x v="4"/>
    <n v="59"/>
    <n v="163"/>
    <n v="93"/>
    <n v="590"/>
    <n v="475"/>
    <n v="293"/>
    <s v="#TeslaCoInnovation"/>
    <x v="1"/>
    <n v="0.53389830508474578"/>
    <n v="315"/>
  </r>
  <r>
    <x v="264"/>
    <x v="0"/>
    <x v="180"/>
    <x v="3"/>
    <n v="1877"/>
    <n v="745"/>
    <n v="225"/>
    <n v="11262"/>
    <n v="10967"/>
    <n v="41"/>
    <s v="#EVRevolution"/>
    <x v="3"/>
    <n v="0.25279701651571657"/>
    <n v="2847"/>
  </r>
  <r>
    <x v="265"/>
    <x v="3"/>
    <x v="38"/>
    <x v="2"/>
    <n v="4182"/>
    <n v="640"/>
    <n v="240"/>
    <n v="50184"/>
    <n v="49351"/>
    <n v="10"/>
    <s v="#TeslaCoInnovation"/>
    <x v="2"/>
    <n v="0.10086880280567512"/>
    <n v="5062"/>
  </r>
  <r>
    <x v="266"/>
    <x v="0"/>
    <x v="143"/>
    <x v="0"/>
    <n v="4187"/>
    <n v="66"/>
    <n v="31"/>
    <n v="66992"/>
    <n v="66614"/>
    <n v="62"/>
    <s v="#FutureOfDriving"/>
    <x v="4"/>
    <n v="6.3947934081681396E-2"/>
    <n v="4284"/>
  </r>
  <r>
    <x v="267"/>
    <x v="2"/>
    <x v="181"/>
    <x v="0"/>
    <n v="4579"/>
    <n v="125"/>
    <n v="300"/>
    <n v="59527"/>
    <n v="59400"/>
    <n v="269"/>
    <s v="#EVRevolution"/>
    <x v="0"/>
    <n v="8.4062694239588759E-2"/>
    <n v="5004"/>
  </r>
  <r>
    <x v="268"/>
    <x v="2"/>
    <x v="182"/>
    <x v="5"/>
    <n v="4561"/>
    <n v="51"/>
    <n v="441"/>
    <n v="22805"/>
    <n v="21890"/>
    <n v="45"/>
    <s v="#TeslaCoInnovation"/>
    <x v="1"/>
    <n v="0.22157421618066214"/>
    <n v="5053"/>
  </r>
  <r>
    <x v="269"/>
    <x v="1"/>
    <x v="150"/>
    <x v="0"/>
    <n v="3774"/>
    <n v="239"/>
    <n v="39"/>
    <n v="60384"/>
    <n v="59490"/>
    <n v="241"/>
    <s v="#TeslaCoInnovation"/>
    <x v="2"/>
    <n v="6.7103868574456813E-2"/>
    <n v="4052"/>
  </r>
  <r>
    <x v="270"/>
    <x v="2"/>
    <x v="183"/>
    <x v="5"/>
    <n v="3575"/>
    <n v="749"/>
    <n v="111"/>
    <n v="21450"/>
    <n v="20785"/>
    <n v="195"/>
    <s v="#EVRevolution"/>
    <x v="1"/>
    <n v="0.20675990675990677"/>
    <n v="4435"/>
  </r>
  <r>
    <x v="271"/>
    <x v="2"/>
    <x v="172"/>
    <x v="1"/>
    <n v="4941"/>
    <n v="414"/>
    <n v="266"/>
    <n v="39528"/>
    <n v="39154"/>
    <n v="217"/>
    <s v="#TeslaCoInnovation"/>
    <x v="2"/>
    <n v="0.14220299534507186"/>
    <n v="5621"/>
  </r>
  <r>
    <x v="272"/>
    <x v="1"/>
    <x v="184"/>
    <x v="2"/>
    <n v="3641"/>
    <n v="226"/>
    <n v="46"/>
    <n v="40051"/>
    <n v="39319"/>
    <n v="296"/>
    <s v="#EVRevolution"/>
    <x v="3"/>
    <n v="9.7700431949264685E-2"/>
    <n v="3913"/>
  </r>
  <r>
    <x v="273"/>
    <x v="0"/>
    <x v="120"/>
    <x v="3"/>
    <n v="3535"/>
    <n v="494"/>
    <n v="152"/>
    <n v="53025"/>
    <n v="52791"/>
    <n v="44"/>
    <s v="#TeslaCoInnovation"/>
    <x v="3"/>
    <n v="7.8849599245638849E-2"/>
    <n v="4181"/>
  </r>
  <r>
    <x v="274"/>
    <x v="3"/>
    <x v="175"/>
    <x v="0"/>
    <n v="1741"/>
    <n v="831"/>
    <n v="345"/>
    <n v="17410"/>
    <n v="16844"/>
    <n v="58"/>
    <s v="#EVRevolution"/>
    <x v="2"/>
    <n v="0.16754738655944859"/>
    <n v="2917"/>
  </r>
  <r>
    <x v="275"/>
    <x v="0"/>
    <x v="185"/>
    <x v="3"/>
    <n v="1556"/>
    <n v="195"/>
    <n v="131"/>
    <n v="9336"/>
    <n v="8875"/>
    <n v="137"/>
    <s v="#TeslaCoInnovation"/>
    <x v="1"/>
    <n v="0.2015852613538989"/>
    <n v="1882"/>
  </r>
  <r>
    <x v="276"/>
    <x v="3"/>
    <x v="106"/>
    <x v="4"/>
    <n v="4236"/>
    <n v="711"/>
    <n v="298"/>
    <n v="21180"/>
    <n v="20516"/>
    <n v="238"/>
    <s v="#FutureOfDriving"/>
    <x v="0"/>
    <n v="0.24763928234183191"/>
    <n v="5245"/>
  </r>
  <r>
    <x v="277"/>
    <x v="0"/>
    <x v="186"/>
    <x v="1"/>
    <n v="4516"/>
    <n v="836"/>
    <n v="169"/>
    <n v="49676"/>
    <n v="49257"/>
    <n v="282"/>
    <s v="#EVRevolution"/>
    <x v="3"/>
    <n v="0.11114018842096787"/>
    <n v="5521"/>
  </r>
  <r>
    <x v="278"/>
    <x v="1"/>
    <x v="66"/>
    <x v="4"/>
    <n v="4905"/>
    <n v="845"/>
    <n v="129"/>
    <n v="98100"/>
    <n v="97772"/>
    <n v="279"/>
    <s v="#TeslaCoInnovation"/>
    <x v="1"/>
    <n v="5.9928644240570844E-2"/>
    <n v="5879"/>
  </r>
  <r>
    <x v="279"/>
    <x v="1"/>
    <x v="54"/>
    <x v="5"/>
    <n v="4275"/>
    <n v="680"/>
    <n v="385"/>
    <n v="64125"/>
    <n v="63650"/>
    <n v="104"/>
    <s v="#EVRevolution,#TeslaCoInnovation,#AnytimeIsTeslaTime"/>
    <x v="3"/>
    <n v="8.3274853801169585E-2"/>
    <n v="5340"/>
  </r>
  <r>
    <x v="280"/>
    <x v="1"/>
    <x v="187"/>
    <x v="4"/>
    <n v="3166"/>
    <n v="90"/>
    <n v="341"/>
    <n v="56988"/>
    <n v="56125"/>
    <n v="135"/>
    <s v="#EVRevolution"/>
    <x v="1"/>
    <n v="6.3118551273952411E-2"/>
    <n v="3597"/>
  </r>
  <r>
    <x v="281"/>
    <x v="2"/>
    <x v="188"/>
    <x v="5"/>
    <n v="1488"/>
    <n v="417"/>
    <n v="168"/>
    <n v="19344"/>
    <n v="18395"/>
    <n v="30"/>
    <s v="#FutureOfDriving"/>
    <x v="2"/>
    <n v="0.1071650124069479"/>
    <n v="2073"/>
  </r>
  <r>
    <x v="282"/>
    <x v="0"/>
    <x v="189"/>
    <x v="0"/>
    <n v="3367"/>
    <n v="302"/>
    <n v="57"/>
    <n v="63973"/>
    <n v="63789"/>
    <n v="157"/>
    <s v="#FutureOfDriving"/>
    <x v="1"/>
    <n v="5.8243321401216137E-2"/>
    <n v="3726"/>
  </r>
  <r>
    <x v="283"/>
    <x v="0"/>
    <x v="26"/>
    <x v="1"/>
    <n v="571"/>
    <n v="190"/>
    <n v="352"/>
    <n v="9707"/>
    <n v="9418"/>
    <n v="231"/>
    <s v="#TeslaCoInnovation"/>
    <x v="3"/>
    <n v="0.11465952405480581"/>
    <n v="1113"/>
  </r>
  <r>
    <x v="284"/>
    <x v="1"/>
    <x v="155"/>
    <x v="1"/>
    <n v="4021"/>
    <n v="794"/>
    <n v="77"/>
    <n v="36189"/>
    <n v="35505"/>
    <n v="174"/>
    <s v="#EVRevolution"/>
    <x v="4"/>
    <n v="0.13517919809886983"/>
    <n v="4892"/>
  </r>
  <r>
    <x v="285"/>
    <x v="1"/>
    <x v="190"/>
    <x v="5"/>
    <n v="3389"/>
    <n v="344"/>
    <n v="229"/>
    <n v="20334"/>
    <n v="19443"/>
    <n v="228"/>
    <s v="#FutureOfDriving"/>
    <x v="2"/>
    <n v="0.19484607062063539"/>
    <n v="3962"/>
  </r>
  <r>
    <x v="286"/>
    <x v="2"/>
    <x v="146"/>
    <x v="0"/>
    <n v="1164"/>
    <n v="616"/>
    <n v="324"/>
    <n v="6984"/>
    <n v="6636"/>
    <n v="82"/>
    <s v="#EVRevolution"/>
    <x v="0"/>
    <n v="0.30126002290950743"/>
    <n v="2104"/>
  </r>
  <r>
    <x v="287"/>
    <x v="1"/>
    <x v="191"/>
    <x v="3"/>
    <n v="4780"/>
    <n v="691"/>
    <n v="380"/>
    <n v="86040"/>
    <n v="85743"/>
    <n v="262"/>
    <s v="#FutureOfDriving"/>
    <x v="2"/>
    <n v="6.800325430032543E-2"/>
    <n v="5851"/>
  </r>
  <r>
    <x v="288"/>
    <x v="3"/>
    <x v="111"/>
    <x v="3"/>
    <n v="2751"/>
    <n v="33"/>
    <n v="430"/>
    <n v="44016"/>
    <n v="43415"/>
    <n v="129"/>
    <s v="#FutureOfDriving"/>
    <x v="4"/>
    <n v="7.3018902217375503E-2"/>
    <n v="3214"/>
  </r>
  <r>
    <x v="289"/>
    <x v="2"/>
    <x v="192"/>
    <x v="3"/>
    <n v="2107"/>
    <n v="550"/>
    <n v="349"/>
    <n v="35819"/>
    <n v="35340"/>
    <n v="191"/>
    <s v="#EVRevolution"/>
    <x v="3"/>
    <n v="8.3921940869371006E-2"/>
    <n v="3006"/>
  </r>
  <r>
    <x v="290"/>
    <x v="3"/>
    <x v="22"/>
    <x v="5"/>
    <n v="4663"/>
    <n v="145"/>
    <n v="225"/>
    <n v="69945"/>
    <n v="69596"/>
    <n v="35"/>
    <s v="#EVRevolution"/>
    <x v="3"/>
    <n v="7.1956537279290869E-2"/>
    <n v="5033"/>
  </r>
  <r>
    <x v="291"/>
    <x v="3"/>
    <x v="193"/>
    <x v="1"/>
    <n v="880"/>
    <n v="297"/>
    <n v="345"/>
    <n v="12320"/>
    <n v="11978"/>
    <n v="238"/>
    <s v="#TeslaCoInnovation,#AnytimeIsTeslaTime"/>
    <x v="4"/>
    <n v="0.12353896103896105"/>
    <n v="1522"/>
  </r>
  <r>
    <x v="292"/>
    <x v="3"/>
    <x v="194"/>
    <x v="1"/>
    <n v="2634"/>
    <n v="726"/>
    <n v="241"/>
    <n v="28974"/>
    <n v="28102"/>
    <n v="277"/>
    <s v="#EVRevolution"/>
    <x v="0"/>
    <n v="0.12428384068475185"/>
    <n v="3601"/>
  </r>
  <r>
    <x v="293"/>
    <x v="3"/>
    <x v="195"/>
    <x v="3"/>
    <n v="4731"/>
    <n v="173"/>
    <n v="276"/>
    <n v="28386"/>
    <n v="28185"/>
    <n v="89"/>
    <s v="#EVRevolution"/>
    <x v="2"/>
    <n v="0.18248432325794406"/>
    <n v="5180"/>
  </r>
  <r>
    <x v="294"/>
    <x v="0"/>
    <x v="157"/>
    <x v="4"/>
    <n v="1952"/>
    <n v="344"/>
    <n v="287"/>
    <n v="15616"/>
    <n v="15403"/>
    <n v="235"/>
    <s v="#FutureOfDriving,#TeslaCoInnovation,#AnytimeIsTeslaTime"/>
    <x v="1"/>
    <n v="0.16540727459016394"/>
    <n v="2583"/>
  </r>
  <r>
    <x v="295"/>
    <x v="0"/>
    <x v="196"/>
    <x v="5"/>
    <n v="3440"/>
    <n v="13"/>
    <n v="20"/>
    <n v="58480"/>
    <n v="58146"/>
    <n v="210"/>
    <s v="#TeslaCoInnovation,#SmoothLikeNitroTesla"/>
    <x v="3"/>
    <n v="5.9387824897400819E-2"/>
    <n v="3473"/>
  </r>
  <r>
    <x v="296"/>
    <x v="0"/>
    <x v="197"/>
    <x v="1"/>
    <n v="2166"/>
    <n v="354"/>
    <n v="117"/>
    <n v="10830"/>
    <n v="10245"/>
    <n v="24"/>
    <s v="#EVRevolution"/>
    <x v="3"/>
    <n v="0.24349030470914126"/>
    <n v="2637"/>
  </r>
  <r>
    <x v="297"/>
    <x v="3"/>
    <x v="14"/>
    <x v="4"/>
    <n v="4303"/>
    <n v="451"/>
    <n v="286"/>
    <n v="86060"/>
    <n v="85823"/>
    <n v="14"/>
    <s v="#TeslaCoInnovation"/>
    <x v="2"/>
    <n v="5.8563792702765516E-2"/>
    <n v="5040"/>
  </r>
  <r>
    <x v="298"/>
    <x v="3"/>
    <x v="15"/>
    <x v="4"/>
    <n v="2581"/>
    <n v="517"/>
    <n v="117"/>
    <n v="23229"/>
    <n v="22331"/>
    <n v="70"/>
    <s v="#FutureOfDriving"/>
    <x v="2"/>
    <n v="0.13840458048129492"/>
    <n v="3215"/>
  </r>
  <r>
    <x v="299"/>
    <x v="0"/>
    <x v="115"/>
    <x v="3"/>
    <n v="4494"/>
    <n v="717"/>
    <n v="45"/>
    <n v="62916"/>
    <n v="62688"/>
    <n v="191"/>
    <s v="#TeslaCoInnovation,#EVRevolution,#BetterWithTesla"/>
    <x v="0"/>
    <n v="8.3539958039290485E-2"/>
    <n v="52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8083BC-BEFD-4E8F-8212-0ECDA7645933}" name="PivotTable1" cacheId="3" applyNumberFormats="0" applyBorderFormats="0" applyFontFormats="0" applyPatternFormats="0" applyAlignmentFormats="0" applyWidthHeightFormats="1" dataCaption="Values" grandTotalCaption="Overall Avg" updatedVersion="8" minRefreshableVersion="3" rowGrandTotals="0" itemPrintTitles="1" createdVersion="8" indent="0" showHeaders="0" outline="1" outlineData="1" multipleFieldFilters="0" chartFormat="5">
  <location ref="A2:B6" firstHeaderRow="1" firstDataRow="1" firstDataCol="1"/>
  <pivotFields count="17">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numFmtId="14" showAll="0">
      <items count="199">
        <item x="164"/>
        <item x="151"/>
        <item x="81"/>
        <item x="116"/>
        <item x="78"/>
        <item x="185"/>
        <item x="47"/>
        <item x="90"/>
        <item x="161"/>
        <item x="49"/>
        <item x="92"/>
        <item x="117"/>
        <item x="52"/>
        <item x="195"/>
        <item x="136"/>
        <item x="94"/>
        <item x="56"/>
        <item x="18"/>
        <item x="6"/>
        <item x="4"/>
        <item x="162"/>
        <item x="87"/>
        <item x="48"/>
        <item x="79"/>
        <item x="137"/>
        <item x="112"/>
        <item x="7"/>
        <item x="114"/>
        <item x="165"/>
        <item x="155"/>
        <item x="11"/>
        <item x="123"/>
        <item x="74"/>
        <item x="62"/>
        <item x="140"/>
        <item x="97"/>
        <item x="31"/>
        <item x="70"/>
        <item x="173"/>
        <item x="175"/>
        <item x="160"/>
        <item x="96"/>
        <item x="124"/>
        <item x="3"/>
        <item x="86"/>
        <item x="133"/>
        <item x="146"/>
        <item x="60"/>
        <item x="17"/>
        <item x="178"/>
        <item x="32"/>
        <item x="118"/>
        <item x="125"/>
        <item x="15"/>
        <item x="171"/>
        <item x="8"/>
        <item x="115"/>
        <item x="66"/>
        <item x="58"/>
        <item x="107"/>
        <item x="19"/>
        <item x="85"/>
        <item x="145"/>
        <item x="148"/>
        <item x="26"/>
        <item x="89"/>
        <item x="190"/>
        <item x="108"/>
        <item x="100"/>
        <item x="188"/>
        <item x="143"/>
        <item x="99"/>
        <item x="158"/>
        <item x="72"/>
        <item x="170"/>
        <item x="184"/>
        <item x="75"/>
        <item x="183"/>
        <item x="68"/>
        <item x="73"/>
        <item x="54"/>
        <item x="122"/>
        <item x="14"/>
        <item x="168"/>
        <item x="177"/>
        <item x="69"/>
        <item x="113"/>
        <item x="5"/>
        <item x="44"/>
        <item x="104"/>
        <item x="182"/>
        <item x="22"/>
        <item x="71"/>
        <item x="84"/>
        <item x="129"/>
        <item x="101"/>
        <item x="193"/>
        <item x="12"/>
        <item x="152"/>
        <item x="59"/>
        <item x="98"/>
        <item x="38"/>
        <item x="186"/>
        <item x="111"/>
        <item x="144"/>
        <item x="34"/>
        <item x="130"/>
        <item x="134"/>
        <item x="64"/>
        <item x="76"/>
        <item x="83"/>
        <item x="42"/>
        <item x="30"/>
        <item x="139"/>
        <item x="53"/>
        <item x="147"/>
        <item x="192"/>
        <item x="121"/>
        <item x="142"/>
        <item x="0"/>
        <item x="197"/>
        <item x="153"/>
        <item x="132"/>
        <item x="120"/>
        <item x="50"/>
        <item x="20"/>
        <item x="36"/>
        <item x="80"/>
        <item x="141"/>
        <item x="169"/>
        <item x="174"/>
        <item x="150"/>
        <item x="135"/>
        <item x="166"/>
        <item x="23"/>
        <item x="77"/>
        <item x="57"/>
        <item x="179"/>
        <item x="28"/>
        <item x="10"/>
        <item x="93"/>
        <item x="109"/>
        <item x="105"/>
        <item x="88"/>
        <item x="196"/>
        <item x="176"/>
        <item x="13"/>
        <item x="37"/>
        <item x="126"/>
        <item x="180"/>
        <item x="46"/>
        <item x="29"/>
        <item x="21"/>
        <item x="43"/>
        <item x="67"/>
        <item x="27"/>
        <item x="41"/>
        <item x="167"/>
        <item x="39"/>
        <item x="40"/>
        <item x="9"/>
        <item x="51"/>
        <item x="103"/>
        <item x="154"/>
        <item x="138"/>
        <item x="187"/>
        <item x="91"/>
        <item x="82"/>
        <item x="95"/>
        <item x="33"/>
        <item x="172"/>
        <item x="61"/>
        <item x="63"/>
        <item x="127"/>
        <item x="65"/>
        <item x="1"/>
        <item x="25"/>
        <item x="106"/>
        <item x="149"/>
        <item x="128"/>
        <item x="24"/>
        <item x="181"/>
        <item x="55"/>
        <item x="191"/>
        <item x="35"/>
        <item x="119"/>
        <item x="110"/>
        <item x="131"/>
        <item x="163"/>
        <item x="156"/>
        <item x="45"/>
        <item x="16"/>
        <item x="157"/>
        <item x="189"/>
        <item x="102"/>
        <item x="2"/>
        <item x="159"/>
        <item x="19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4">
    <i>
      <x v="1"/>
    </i>
    <i>
      <x v="2"/>
    </i>
    <i>
      <x v="3"/>
    </i>
    <i>
      <x/>
    </i>
  </rowItems>
  <colItems count="1">
    <i/>
  </colItems>
  <dataFields count="1">
    <dataField name="Avg Engagement Rate" fld="12" subtotal="average" baseField="1" baseItem="1" numFmtId="10"/>
  </dataFields>
  <formats count="6">
    <format dxfId="80">
      <pivotArea outline="0" collapsedLevelsAreSubtotals="1" fieldPosition="0"/>
    </format>
    <format dxfId="79">
      <pivotArea dataOnly="0" fieldPosition="0">
        <references count="1">
          <reference field="1" count="1">
            <x v="1"/>
          </reference>
        </references>
      </pivotArea>
    </format>
    <format dxfId="78">
      <pivotArea collapsedLevelsAreSubtotals="1" fieldPosition="0">
        <references count="1">
          <reference field="1" count="1">
            <x v="1"/>
          </reference>
        </references>
      </pivotArea>
    </format>
    <format dxfId="77">
      <pivotArea dataOnly="0" labelOnly="1" fieldPosition="0">
        <references count="1">
          <reference field="1" count="1">
            <x v="1"/>
          </reference>
        </references>
      </pivotArea>
    </format>
    <format dxfId="76">
      <pivotArea dataOnly="0" labelOnly="1" fieldPosition="0">
        <references count="1">
          <reference field="1" count="1">
            <x v="1"/>
          </reference>
        </references>
      </pivotArea>
    </format>
    <format dxfId="75">
      <pivotArea collapsedLevelsAreSubtotals="1" fieldPosition="0">
        <references count="1">
          <reference field="1"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EE96E5-DC7E-4657-BFC3-99E669CCA52A}" name="PivotTable2" cacheId="3" applyNumberFormats="0" applyBorderFormats="0" applyFontFormats="0" applyPatternFormats="0" applyAlignmentFormats="0" applyWidthHeightFormats="1" dataCaption="Values" updatedVersion="8" minRefreshableVersion="3" rowGrandTotals="0" itemPrintTitles="1" createdVersion="8" indent="0" showHeaders="0" outline="1" outlineData="1" multipleFieldFilters="0" chartFormat="8">
  <location ref="A20:B30" firstHeaderRow="1" firstDataRow="1" firstDataCol="1"/>
  <pivotFields count="17">
    <pivotField axis="axisRow" showAll="0" measureFilter="1" sortType="descending">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autoSortScope>
        <pivotArea dataOnly="0" outline="0" fieldPosition="0">
          <references count="1">
            <reference field="4294967294" count="1" selected="0">
              <x v="0"/>
            </reference>
          </references>
        </pivotArea>
      </autoSortScope>
    </pivotField>
    <pivotField showAll="0"/>
    <pivotField numFmtId="14" showAll="0">
      <items count="199">
        <item x="164"/>
        <item x="151"/>
        <item x="81"/>
        <item x="116"/>
        <item x="78"/>
        <item x="185"/>
        <item x="47"/>
        <item x="90"/>
        <item x="161"/>
        <item x="49"/>
        <item x="92"/>
        <item x="117"/>
        <item x="52"/>
        <item x="195"/>
        <item x="136"/>
        <item x="94"/>
        <item x="56"/>
        <item x="18"/>
        <item x="6"/>
        <item x="4"/>
        <item x="162"/>
        <item x="87"/>
        <item x="48"/>
        <item x="79"/>
        <item x="137"/>
        <item x="112"/>
        <item x="7"/>
        <item x="114"/>
        <item x="165"/>
        <item x="155"/>
        <item x="11"/>
        <item x="123"/>
        <item x="74"/>
        <item x="62"/>
        <item x="140"/>
        <item x="97"/>
        <item x="31"/>
        <item x="70"/>
        <item x="173"/>
        <item x="175"/>
        <item x="160"/>
        <item x="96"/>
        <item x="124"/>
        <item x="3"/>
        <item x="86"/>
        <item x="133"/>
        <item x="146"/>
        <item x="60"/>
        <item x="17"/>
        <item x="178"/>
        <item x="32"/>
        <item x="118"/>
        <item x="125"/>
        <item x="15"/>
        <item x="171"/>
        <item x="8"/>
        <item x="115"/>
        <item x="66"/>
        <item x="58"/>
        <item x="107"/>
        <item x="19"/>
        <item x="85"/>
        <item x="145"/>
        <item x="148"/>
        <item x="26"/>
        <item x="89"/>
        <item x="190"/>
        <item x="108"/>
        <item x="100"/>
        <item x="188"/>
        <item x="143"/>
        <item x="99"/>
        <item x="158"/>
        <item x="72"/>
        <item x="170"/>
        <item x="184"/>
        <item x="75"/>
        <item x="183"/>
        <item x="68"/>
        <item x="73"/>
        <item x="54"/>
        <item x="122"/>
        <item x="14"/>
        <item x="168"/>
        <item x="177"/>
        <item x="69"/>
        <item x="113"/>
        <item x="5"/>
        <item x="44"/>
        <item x="104"/>
        <item x="182"/>
        <item x="22"/>
        <item x="71"/>
        <item x="84"/>
        <item x="129"/>
        <item x="101"/>
        <item x="193"/>
        <item x="12"/>
        <item x="152"/>
        <item x="59"/>
        <item x="98"/>
        <item x="38"/>
        <item x="186"/>
        <item x="111"/>
        <item x="144"/>
        <item x="34"/>
        <item x="130"/>
        <item x="134"/>
        <item x="64"/>
        <item x="76"/>
        <item x="83"/>
        <item x="42"/>
        <item x="30"/>
        <item x="139"/>
        <item x="53"/>
        <item x="147"/>
        <item x="192"/>
        <item x="121"/>
        <item x="142"/>
        <item x="0"/>
        <item x="197"/>
        <item x="153"/>
        <item x="132"/>
        <item x="120"/>
        <item x="50"/>
        <item x="20"/>
        <item x="36"/>
        <item x="80"/>
        <item x="141"/>
        <item x="169"/>
        <item x="174"/>
        <item x="150"/>
        <item x="135"/>
        <item x="166"/>
        <item x="23"/>
        <item x="77"/>
        <item x="57"/>
        <item x="179"/>
        <item x="28"/>
        <item x="10"/>
        <item x="93"/>
        <item x="109"/>
        <item x="105"/>
        <item x="88"/>
        <item x="196"/>
        <item x="176"/>
        <item x="13"/>
        <item x="37"/>
        <item x="126"/>
        <item x="180"/>
        <item x="46"/>
        <item x="29"/>
        <item x="21"/>
        <item x="43"/>
        <item x="67"/>
        <item x="27"/>
        <item x="41"/>
        <item x="167"/>
        <item x="39"/>
        <item x="40"/>
        <item x="9"/>
        <item x="51"/>
        <item x="103"/>
        <item x="154"/>
        <item x="138"/>
        <item x="187"/>
        <item x="91"/>
        <item x="82"/>
        <item x="95"/>
        <item x="33"/>
        <item x="172"/>
        <item x="61"/>
        <item x="63"/>
        <item x="127"/>
        <item x="65"/>
        <item x="1"/>
        <item x="25"/>
        <item x="106"/>
        <item x="149"/>
        <item x="128"/>
        <item x="24"/>
        <item x="181"/>
        <item x="55"/>
        <item x="191"/>
        <item x="35"/>
        <item x="119"/>
        <item x="110"/>
        <item x="131"/>
        <item x="163"/>
        <item x="156"/>
        <item x="45"/>
        <item x="16"/>
        <item x="157"/>
        <item x="189"/>
        <item x="102"/>
        <item x="2"/>
        <item x="159"/>
        <item x="194"/>
        <item t="default"/>
      </items>
    </pivotField>
    <pivotField showAll="0">
      <items count="7">
        <item x="3"/>
        <item x="4"/>
        <item x="0"/>
        <item x="2"/>
        <item x="1"/>
        <item x="5"/>
        <item t="default"/>
      </items>
    </pivotField>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10">
    <i>
      <x v="60"/>
    </i>
    <i>
      <x v="143"/>
    </i>
    <i>
      <x v="163"/>
    </i>
    <i>
      <x v="260"/>
    </i>
    <i>
      <x v="243"/>
    </i>
    <i>
      <x v="214"/>
    </i>
    <i>
      <x v="105"/>
    </i>
    <i>
      <x v="160"/>
    </i>
    <i>
      <x v="227"/>
    </i>
    <i>
      <x v="278"/>
    </i>
  </rowItems>
  <colItems count="1">
    <i/>
  </colItems>
  <dataFields count="1">
    <dataField name="Engagement" fld="13" baseField="0" baseItem="60" numFmtId="1"/>
  </dataFields>
  <formats count="8">
    <format dxfId="88">
      <pivotArea outline="0" collapsedLevelsAreSubtotals="1" fieldPosition="0"/>
    </format>
    <format dxfId="87">
      <pivotArea collapsedLevelsAreSubtotals="1" fieldPosition="0">
        <references count="1">
          <reference field="0" count="1">
            <x v="219"/>
          </reference>
        </references>
      </pivotArea>
    </format>
    <format dxfId="86">
      <pivotArea dataOnly="0" labelOnly="1" fieldPosition="0">
        <references count="1">
          <reference field="0" count="1">
            <x v="219"/>
          </reference>
        </references>
      </pivotArea>
    </format>
    <format dxfId="85">
      <pivotArea collapsedLevelsAreSubtotals="1" fieldPosition="0">
        <references count="1">
          <reference field="0" count="1">
            <x v="219"/>
          </reference>
        </references>
      </pivotArea>
    </format>
    <format dxfId="84">
      <pivotArea dataOnly="0" labelOnly="1" fieldPosition="0">
        <references count="1">
          <reference field="0" count="1">
            <x v="219"/>
          </reference>
        </references>
      </pivotArea>
    </format>
    <format dxfId="83">
      <pivotArea outline="0" collapsedLevelsAreSubtotals="1" fieldPosition="0">
        <references count="1">
          <reference field="4294967294" count="1" selected="0">
            <x v="0"/>
          </reference>
        </references>
      </pivotArea>
    </format>
    <format dxfId="82">
      <pivotArea dataOnly="0" fieldPosition="0">
        <references count="1">
          <reference field="0" count="1">
            <x v="60"/>
          </reference>
        </references>
      </pivotArea>
    </format>
    <format dxfId="81">
      <pivotArea dataOnly="0" fieldPosition="0">
        <references count="1">
          <reference field="0" count="1">
            <x v="60"/>
          </reference>
        </references>
      </pivotArea>
    </format>
  </formats>
  <chartFormats count="1">
    <chartFormat chart="0" format="6"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20637D-2AF2-41BC-B5A4-D3A23F2559D6}" name="PivotTable17" cacheId="2" applyNumberFormats="0" applyBorderFormats="0" applyFontFormats="0" applyPatternFormats="0" applyAlignmentFormats="0" applyWidthHeightFormats="1" dataCaption="Values" updatedVersion="8" minRefreshableVersion="3" rowGrandTotals="0" itemPrintTitles="1" createdVersion="8" indent="0" showHeaders="0" outline="1" outlineData="1" multipleFieldFilters="0">
  <location ref="A20:B26" firstHeaderRow="1" firstDataRow="1" firstDataCol="1"/>
  <pivotFields count="13">
    <pivotField showAll="0"/>
    <pivotField showAll="0"/>
    <pivotField numFmtId="14" showAll="0"/>
    <pivotField showAll="0"/>
    <pivotField showAll="0"/>
    <pivotField showAll="0"/>
    <pivotField showAll="0"/>
    <pivotField showAll="0"/>
    <pivotField showAll="0"/>
    <pivotField dataField="1" showAll="0"/>
    <pivotField axis="axisRow" showAll="0" sortType="descending">
      <items count="8">
        <item x="1"/>
        <item x="3"/>
        <item x="4"/>
        <item x="0"/>
        <item x="5"/>
        <item x="2"/>
        <item m="1" x="6"/>
        <item t="default"/>
      </items>
      <autoSortScope>
        <pivotArea dataOnly="0" outline="0" fieldPosition="0">
          <references count="1">
            <reference field="4294967294" count="1" selected="0">
              <x v="0"/>
            </reference>
          </references>
        </pivotArea>
      </autoSortScope>
    </pivotField>
    <pivotField showAll="0"/>
    <pivotField showAll="0"/>
  </pivotFields>
  <rowFields count="1">
    <field x="10"/>
  </rowFields>
  <rowItems count="6">
    <i>
      <x/>
    </i>
    <i>
      <x v="5"/>
    </i>
    <i>
      <x v="2"/>
    </i>
    <i>
      <x v="3"/>
    </i>
    <i>
      <x v="1"/>
    </i>
    <i>
      <x v="4"/>
    </i>
  </rowItems>
  <colItems count="1">
    <i/>
  </colItems>
  <dataFields count="1">
    <dataField name="Avg Clicks" fld="9" subtotal="average" baseField="10" baseItem="0" numFmtId="1"/>
  </dataFields>
  <formats count="6">
    <format dxfId="73">
      <pivotArea outline="0" collapsedLevelsAreSubtotals="1" fieldPosition="0"/>
    </format>
    <format dxfId="72">
      <pivotArea dataOnly="0" labelOnly="1" fieldPosition="0">
        <references count="1">
          <reference field="10" count="1">
            <x v="0"/>
          </reference>
        </references>
      </pivotArea>
    </format>
    <format dxfId="71">
      <pivotArea collapsedLevelsAreSubtotals="1" fieldPosition="0">
        <references count="1">
          <reference field="10" count="1">
            <x v="0"/>
          </reference>
        </references>
      </pivotArea>
    </format>
    <format dxfId="70">
      <pivotArea dataOnly="0" labelOnly="1" fieldPosition="0">
        <references count="1">
          <reference field="10" count="1">
            <x v="0"/>
          </reference>
        </references>
      </pivotArea>
    </format>
    <format dxfId="69">
      <pivotArea dataOnly="0" labelOnly="1" fieldPosition="0">
        <references count="1">
          <reference field="10" count="1">
            <x v="0"/>
          </reference>
        </references>
      </pivotArea>
    </format>
    <format dxfId="68">
      <pivotArea dataOnly="0" labelOnly="1" fieldPosition="0">
        <references count="1">
          <reference field="10" count="1">
            <x v="0"/>
          </reference>
        </references>
      </pivotArea>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69BE45-B62C-462E-A15F-610632E8256D}" name="PivotTable4" cacheId="3" applyNumberFormats="0" applyBorderFormats="0" applyFontFormats="0" applyPatternFormats="0" applyAlignmentFormats="0" applyWidthHeightFormats="1" dataCaption="Values" updatedVersion="8" minRefreshableVersion="3" rowGrandTotals="0" itemPrintTitles="1" createdVersion="8" indent="0" showHeaders="0" outline="1" outlineData="1" multipleFieldFilters="0" chartFormat="2">
  <location ref="A3:D7" firstHeaderRow="0" firstDataRow="1" firstDataCol="1"/>
  <pivotFields count="17">
    <pivotField showAll="0"/>
    <pivotField axis="axisRow" showAll="0">
      <items count="5">
        <item x="3"/>
        <item x="2"/>
        <item x="0"/>
        <item x="1"/>
        <item t="default"/>
      </items>
    </pivotField>
    <pivotField numFmtId="14" showAll="0">
      <items count="199">
        <item x="164"/>
        <item x="151"/>
        <item x="81"/>
        <item x="116"/>
        <item x="78"/>
        <item x="185"/>
        <item x="47"/>
        <item x="90"/>
        <item x="161"/>
        <item x="49"/>
        <item x="92"/>
        <item x="117"/>
        <item x="52"/>
        <item x="195"/>
        <item x="136"/>
        <item x="94"/>
        <item x="56"/>
        <item x="18"/>
        <item x="6"/>
        <item x="4"/>
        <item x="162"/>
        <item x="87"/>
        <item x="48"/>
        <item x="79"/>
        <item x="137"/>
        <item x="112"/>
        <item x="7"/>
        <item x="114"/>
        <item x="165"/>
        <item x="155"/>
        <item x="11"/>
        <item x="123"/>
        <item x="74"/>
        <item x="62"/>
        <item x="140"/>
        <item x="97"/>
        <item x="31"/>
        <item x="70"/>
        <item x="173"/>
        <item x="175"/>
        <item x="160"/>
        <item x="96"/>
        <item x="124"/>
        <item x="3"/>
        <item x="86"/>
        <item x="133"/>
        <item x="146"/>
        <item x="60"/>
        <item x="17"/>
        <item x="178"/>
        <item x="32"/>
        <item x="118"/>
        <item x="125"/>
        <item x="15"/>
        <item x="171"/>
        <item x="8"/>
        <item x="115"/>
        <item x="66"/>
        <item x="58"/>
        <item x="107"/>
        <item x="19"/>
        <item x="85"/>
        <item x="145"/>
        <item x="148"/>
        <item x="26"/>
        <item x="89"/>
        <item x="190"/>
        <item x="108"/>
        <item x="100"/>
        <item x="188"/>
        <item x="143"/>
        <item x="99"/>
        <item x="158"/>
        <item x="72"/>
        <item x="170"/>
        <item x="184"/>
        <item x="75"/>
        <item x="183"/>
        <item x="68"/>
        <item x="73"/>
        <item x="54"/>
        <item x="122"/>
        <item x="14"/>
        <item x="168"/>
        <item x="177"/>
        <item x="69"/>
        <item x="113"/>
        <item x="5"/>
        <item x="44"/>
        <item x="104"/>
        <item x="182"/>
        <item x="22"/>
        <item x="71"/>
        <item x="84"/>
        <item x="129"/>
        <item x="101"/>
        <item x="193"/>
        <item x="12"/>
        <item x="152"/>
        <item x="59"/>
        <item x="98"/>
        <item x="38"/>
        <item x="186"/>
        <item x="111"/>
        <item x="144"/>
        <item x="34"/>
        <item x="130"/>
        <item x="134"/>
        <item x="64"/>
        <item x="76"/>
        <item x="83"/>
        <item x="42"/>
        <item x="30"/>
        <item x="139"/>
        <item x="53"/>
        <item x="147"/>
        <item x="192"/>
        <item x="121"/>
        <item x="142"/>
        <item x="0"/>
        <item x="197"/>
        <item x="153"/>
        <item x="132"/>
        <item x="120"/>
        <item x="50"/>
        <item x="20"/>
        <item x="36"/>
        <item x="80"/>
        <item x="141"/>
        <item x="169"/>
        <item x="174"/>
        <item x="150"/>
        <item x="135"/>
        <item x="166"/>
        <item x="23"/>
        <item x="77"/>
        <item x="57"/>
        <item x="179"/>
        <item x="28"/>
        <item x="10"/>
        <item x="93"/>
        <item x="109"/>
        <item x="105"/>
        <item x="88"/>
        <item x="196"/>
        <item x="176"/>
        <item x="13"/>
        <item x="37"/>
        <item x="126"/>
        <item x="180"/>
        <item x="46"/>
        <item x="29"/>
        <item x="21"/>
        <item x="43"/>
        <item x="67"/>
        <item x="27"/>
        <item x="41"/>
        <item x="167"/>
        <item x="39"/>
        <item x="40"/>
        <item x="9"/>
        <item x="51"/>
        <item x="103"/>
        <item x="154"/>
        <item x="138"/>
        <item x="187"/>
        <item x="91"/>
        <item x="82"/>
        <item x="95"/>
        <item x="33"/>
        <item x="172"/>
        <item x="61"/>
        <item x="63"/>
        <item x="127"/>
        <item x="65"/>
        <item x="1"/>
        <item x="25"/>
        <item x="106"/>
        <item x="149"/>
        <item x="128"/>
        <item x="24"/>
        <item x="181"/>
        <item x="55"/>
        <item x="191"/>
        <item x="35"/>
        <item x="119"/>
        <item x="110"/>
        <item x="131"/>
        <item x="163"/>
        <item x="156"/>
        <item x="45"/>
        <item x="16"/>
        <item x="157"/>
        <item x="189"/>
        <item x="102"/>
        <item x="2"/>
        <item x="159"/>
        <item x="194"/>
        <item t="default"/>
      </items>
    </pivotField>
    <pivotField multipleItemSelectionAllowed="1" showAll="0">
      <items count="7">
        <item h="1" x="3"/>
        <item h="1" x="4"/>
        <item h="1" x="0"/>
        <item h="1" x="2"/>
        <item h="1" x="1"/>
        <item x="5"/>
        <item t="default"/>
      </items>
    </pivotField>
    <pivotField dataField="1" showAll="0"/>
    <pivotField dataField="1"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4">
    <i>
      <x/>
    </i>
    <i>
      <x v="1"/>
    </i>
    <i>
      <x v="2"/>
    </i>
    <i>
      <x v="3"/>
    </i>
  </rowItems>
  <colFields count="1">
    <field x="-2"/>
  </colFields>
  <colItems count="3">
    <i>
      <x/>
    </i>
    <i i="1">
      <x v="1"/>
    </i>
    <i i="2">
      <x v="2"/>
    </i>
  </colItems>
  <dataFields count="3">
    <dataField name="Total Likes" fld="4" baseField="1" baseItem="0"/>
    <dataField name="Total Shares" fld="5" baseField="1" baseItem="0"/>
    <dataField name="Total Comments" fld="6" baseField="1"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CDAB4D-029F-4338-ACAD-4E97395261A6}" name="PivotTable18" cacheId="2" applyNumberFormats="0" applyBorderFormats="0" applyFontFormats="0" applyPatternFormats="0" applyAlignmentFormats="0" applyWidthHeightFormats="1" dataCaption="Values" updatedVersion="8" minRefreshableVersion="3" useAutoFormatting="1" rowGrandTotals="0" itemPrintTitles="1" createdVersion="8" indent="0" showHeaders="0" outline="1" outlineData="1" multipleFieldFilters="0" chartFormat="15">
  <location ref="A40:B46" firstHeaderRow="1" firstDataRow="1" firstDataCol="1"/>
  <pivotFields count="13">
    <pivotField showAll="0"/>
    <pivotField showAll="0"/>
    <pivotField numFmtId="14" showAll="0"/>
    <pivotField showAll="0"/>
    <pivotField showAll="0"/>
    <pivotField showAll="0"/>
    <pivotField showAll="0"/>
    <pivotField showAll="0"/>
    <pivotField showAll="0"/>
    <pivotField showAll="0"/>
    <pivotField axis="axisRow" showAll="0" sortType="descending">
      <items count="8">
        <item x="1"/>
        <item x="3"/>
        <item x="4"/>
        <item x="0"/>
        <item x="5"/>
        <item x="2"/>
        <item m="1" x="6"/>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10"/>
  </rowFields>
  <rowItems count="6">
    <i>
      <x v="2"/>
    </i>
    <i>
      <x v="5"/>
    </i>
    <i>
      <x v="3"/>
    </i>
    <i>
      <x v="1"/>
    </i>
    <i>
      <x/>
    </i>
    <i>
      <x v="4"/>
    </i>
  </rowItems>
  <colItems count="1">
    <i/>
  </colItems>
  <dataFields count="1">
    <dataField name="Avg Engagement Rate" fld="12" subtotal="average" baseField="10" baseItem="2" numFmtId="10"/>
  </dataFields>
  <formats count="1">
    <format dxfId="74">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8">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0" count="1" selected="0">
            <x v="2"/>
          </reference>
        </references>
      </pivotArea>
    </chartFormat>
    <chartFormat chart="10" format="4">
      <pivotArea type="data" outline="0" fieldPosition="0">
        <references count="2">
          <reference field="4294967294" count="1" selected="0">
            <x v="0"/>
          </reference>
          <reference field="10" count="1" selected="0">
            <x v="5"/>
          </reference>
        </references>
      </pivotArea>
    </chartFormat>
    <chartFormat chart="10" format="5">
      <pivotArea type="data" outline="0" fieldPosition="0">
        <references count="2">
          <reference field="4294967294" count="1" selected="0">
            <x v="0"/>
          </reference>
          <reference field="10" count="1" selected="0">
            <x v="3"/>
          </reference>
        </references>
      </pivotArea>
    </chartFormat>
    <chartFormat chart="10" format="6">
      <pivotArea type="data" outline="0" fieldPosition="0">
        <references count="2">
          <reference field="4294967294" count="1" selected="0">
            <x v="0"/>
          </reference>
          <reference field="10" count="1" selected="0">
            <x v="1"/>
          </reference>
        </references>
      </pivotArea>
    </chartFormat>
    <chartFormat chart="10" format="7">
      <pivotArea type="data" outline="0" fieldPosition="0">
        <references count="2">
          <reference field="4294967294" count="1" selected="0">
            <x v="0"/>
          </reference>
          <reference field="10" count="1" selected="0">
            <x v="0"/>
          </reference>
        </references>
      </pivotArea>
    </chartFormat>
    <chartFormat chart="10" format="8">
      <pivotArea type="data" outline="0" fieldPosition="0">
        <references count="2">
          <reference field="4294967294" count="1" selected="0">
            <x v="0"/>
          </reference>
          <reference field="10" count="1" selected="0">
            <x v="4"/>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E11AEF-3E8F-4483-9EEC-BB37C5D6F652}" name="PivotTable25" cacheId="1" applyNumberFormats="0" applyBorderFormats="0" applyFontFormats="0" applyPatternFormats="0" applyAlignmentFormats="0" applyWidthHeightFormats="1" dataCaption="Values" updatedVersion="8" minRefreshableVersion="3" rowGrandTotals="0" itemPrintTitles="1" createdVersion="8" indent="0" showHeaders="0" outline="1" outlineData="1" multipleFieldFilters="0" chartFormat="5">
  <location ref="A20:C24" firstHeaderRow="0" firstDataRow="1" firstDataCol="1"/>
  <pivotFields count="12">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dataField="1"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4">
    <i>
      <x v="1"/>
    </i>
    <i>
      <x v="2"/>
    </i>
    <i>
      <x/>
    </i>
    <i>
      <x v="3"/>
    </i>
  </rowItems>
  <colFields count="1">
    <field x="-2"/>
  </colFields>
  <colItems count="2">
    <i>
      <x/>
    </i>
    <i i="1">
      <x v="1"/>
    </i>
  </colItems>
  <dataFields count="2">
    <dataField name="Avg Followers Gained" fld="7" subtotal="average" baseField="1" baseItem="1" numFmtId="1"/>
    <dataField name="Avg Growth Rate" fld="8" subtotal="average" baseField="1" baseItem="1" numFmtId="10"/>
  </dataFields>
  <formats count="2">
    <format dxfId="66">
      <pivotArea outline="0" collapsedLevelsAreSubtotals="1" fieldPosition="0"/>
    </format>
    <format dxfId="65">
      <pivotArea outline="0" collapsedLevelsAreSubtotals="1" fieldPosition="0">
        <references count="1">
          <reference field="4294967294" count="1" selected="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1" count="1" selected="0">
            <x v="0"/>
          </reference>
        </references>
      </pivotArea>
    </chartFormat>
    <chartFormat chart="4" format="7">
      <pivotArea type="data" outline="0" fieldPosition="0">
        <references count="2">
          <reference field="4294967294" count="1" selected="0">
            <x v="1"/>
          </reference>
          <reference field="1" count="1" selected="0">
            <x v="3"/>
          </reference>
        </references>
      </pivotArea>
    </chartFormat>
    <chartFormat chart="4" format="8">
      <pivotArea type="data" outline="0" fieldPosition="0">
        <references count="2">
          <reference field="4294967294" count="1" selected="0">
            <x v="1"/>
          </reference>
          <reference field="1" count="1" selected="0">
            <x v="2"/>
          </reference>
        </references>
      </pivotArea>
    </chartFormat>
    <chartFormat chart="4" format="9">
      <pivotArea type="data" outline="0" fieldPosition="0">
        <references count="2">
          <reference field="4294967294" count="1" selected="0">
            <x v="1"/>
          </reference>
          <reference field="1"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B3951B-F13A-42A4-B375-6C7347CF7936}" name="PivotTable22" cacheId="1" applyNumberFormats="0" applyBorderFormats="0" applyFontFormats="0" applyPatternFormats="0" applyAlignmentFormats="0" applyWidthHeightFormats="1" dataCaption="Values" updatedVersion="8" minRefreshableVersion="3" rowGrandTotals="0" itemPrintTitles="1" createdVersion="8" indent="0" showHeaders="0" outline="1" outlineData="1" multipleFieldFilters="0" chartFormat="2">
  <location ref="A3:C7" firstHeaderRow="0" firstDataRow="1" firstDataCol="1"/>
  <pivotFields count="12">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4">
    <i>
      <x v="1"/>
    </i>
    <i>
      <x v="2"/>
    </i>
    <i>
      <x/>
    </i>
    <i>
      <x v="3"/>
    </i>
  </rowItems>
  <colFields count="1">
    <field x="-2"/>
  </colFields>
  <colItems count="2">
    <i>
      <x/>
    </i>
    <i i="1">
      <x v="1"/>
    </i>
  </colItems>
  <dataFields count="2">
    <dataField name="Avg Engagement" fld="5" subtotal="average" baseField="1" baseItem="1" numFmtId="2"/>
    <dataField name="Max Engagement" fld="5" subtotal="max" baseField="1" baseItem="1"/>
  </dataFields>
  <formats count="1">
    <format dxfId="67">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15729A-F265-4983-B93D-56909B94AC27}" name="PivotTable28" cacheId="1" applyNumberFormats="0" applyBorderFormats="0" applyFontFormats="0" applyPatternFormats="0" applyAlignmentFormats="0" applyWidthHeightFormats="1" dataCaption="Values" updatedVersion="8" minRefreshableVersion="3" rowGrandTotals="0" itemPrintTitles="1" createdVersion="8" indent="0" showHeaders="0" outline="1" outlineData="1" multipleFieldFilters="0" chartFormat="2">
  <location ref="A3:C7" firstHeaderRow="0" firstDataRow="1" firstDataCol="1"/>
  <pivotFields count="12">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5">
        <item x="1"/>
        <item x="0"/>
        <item x="2"/>
        <item x="3"/>
        <item t="default"/>
      </items>
    </pivotField>
    <pivotField showAll="0"/>
    <pivotField showAll="0"/>
    <pivotField showAll="0"/>
    <pivotField dataField="1"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4">
    <i>
      <x/>
    </i>
    <i>
      <x v="1"/>
    </i>
    <i>
      <x v="2"/>
    </i>
    <i>
      <x v="3"/>
    </i>
  </rowItems>
  <colFields count="1">
    <field x="-2"/>
  </colFields>
  <colItems count="2">
    <i>
      <x/>
    </i>
    <i i="1">
      <x v="1"/>
    </i>
  </colItems>
  <dataFields count="2">
    <dataField name="Engagement" fld="5" subtotal="average" baseField="1" baseItem="0" numFmtId="2"/>
    <dataField name="Ad Spend" fld="6" subtotal="average" baseField="1" baseItem="0"/>
  </dataFields>
  <formats count="4">
    <format dxfId="64">
      <pivotArea collapsedLevelsAreSubtotals="1" fieldPosition="0">
        <references count="2">
          <reference field="4294967294" count="1" selected="0">
            <x v="1"/>
          </reference>
          <reference field="1" count="1">
            <x v="0"/>
          </reference>
        </references>
      </pivotArea>
    </format>
    <format dxfId="63">
      <pivotArea collapsedLevelsAreSubtotals="1" fieldPosition="0">
        <references count="2">
          <reference field="4294967294" count="1" selected="0">
            <x v="1"/>
          </reference>
          <reference field="1" count="3">
            <x v="1"/>
            <x v="2"/>
            <x v="3"/>
          </reference>
        </references>
      </pivotArea>
    </format>
    <format dxfId="62">
      <pivotArea field="1" grandRow="1" outline="0" collapsedLevelsAreSubtotals="1" axis="axisRow" fieldPosition="0">
        <references count="1">
          <reference field="4294967294" count="1" selected="0">
            <x v="1"/>
          </reference>
        </references>
      </pivotArea>
    </format>
    <format dxfId="61">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3F0B45-A7DE-4A46-AB1D-306918526242}" name="PivotTable6" cacheId="2" applyNumberFormats="0" applyBorderFormats="0" applyFontFormats="0" applyPatternFormats="0" applyAlignmentFormats="0" applyWidthHeightFormats="1" dataCaption="Values" updatedVersion="8" minRefreshableVersion="3" useAutoFormatting="1" rowGrandTotals="0" itemPrintTitles="1" createdVersion="8" indent="0" showHeaders="0" outline="1" outlineData="1" multipleFieldFilters="0" chartFormat="2">
  <location ref="A25:B128" firstHeaderRow="1" firstDataRow="1" firstDataCol="1" rowPageCount="1" colPageCount="1"/>
  <pivotFields count="13">
    <pivotField axis="axisRow" showAll="0">
      <items count="3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m="1" x="300"/>
        <item t="default"/>
      </items>
    </pivotField>
    <pivotField showAll="0"/>
    <pivotField numFmtId="14" showAll="0"/>
    <pivotField showAll="0"/>
    <pivotField showAll="0"/>
    <pivotField showAll="0"/>
    <pivotField showAll="0"/>
    <pivotField showAll="0"/>
    <pivotField showAll="0"/>
    <pivotField showAll="0"/>
    <pivotField axis="axisPage" multipleItemSelectionAllowed="1" showAll="0">
      <items count="8">
        <item h="1" x="1"/>
        <item h="1" x="3"/>
        <item h="1" x="4"/>
        <item x="0"/>
        <item h="1" x="5"/>
        <item h="1" x="2"/>
        <item h="1" m="1" x="6"/>
        <item t="default"/>
      </items>
    </pivotField>
    <pivotField showAll="0"/>
    <pivotField dataField="1" numFmtId="10" showAll="0"/>
  </pivotFields>
  <rowFields count="1">
    <field x="0"/>
  </rowFields>
  <rowItems count="103">
    <i>
      <x/>
    </i>
    <i>
      <x v="10"/>
    </i>
    <i>
      <x v="11"/>
    </i>
    <i>
      <x v="13"/>
    </i>
    <i>
      <x v="14"/>
    </i>
    <i>
      <x v="15"/>
    </i>
    <i>
      <x v="17"/>
    </i>
    <i>
      <x v="20"/>
    </i>
    <i>
      <x v="23"/>
    </i>
    <i>
      <x v="25"/>
    </i>
    <i>
      <x v="26"/>
    </i>
    <i>
      <x v="27"/>
    </i>
    <i>
      <x v="28"/>
    </i>
    <i>
      <x v="34"/>
    </i>
    <i>
      <x v="40"/>
    </i>
    <i>
      <x v="44"/>
    </i>
    <i>
      <x v="46"/>
    </i>
    <i>
      <x v="50"/>
    </i>
    <i>
      <x v="53"/>
    </i>
    <i>
      <x v="55"/>
    </i>
    <i>
      <x v="62"/>
    </i>
    <i>
      <x v="63"/>
    </i>
    <i>
      <x v="68"/>
    </i>
    <i>
      <x v="72"/>
    </i>
    <i>
      <x v="77"/>
    </i>
    <i>
      <x v="79"/>
    </i>
    <i>
      <x v="81"/>
    </i>
    <i>
      <x v="83"/>
    </i>
    <i>
      <x v="84"/>
    </i>
    <i>
      <x v="86"/>
    </i>
    <i>
      <x v="91"/>
    </i>
    <i>
      <x v="93"/>
    </i>
    <i>
      <x v="94"/>
    </i>
    <i>
      <x v="95"/>
    </i>
    <i>
      <x v="97"/>
    </i>
    <i>
      <x v="98"/>
    </i>
    <i>
      <x v="100"/>
    </i>
    <i>
      <x v="104"/>
    </i>
    <i>
      <x v="108"/>
    </i>
    <i>
      <x v="111"/>
    </i>
    <i>
      <x v="113"/>
    </i>
    <i>
      <x v="117"/>
    </i>
    <i>
      <x v="118"/>
    </i>
    <i>
      <x v="120"/>
    </i>
    <i>
      <x v="125"/>
    </i>
    <i>
      <x v="126"/>
    </i>
    <i>
      <x v="127"/>
    </i>
    <i>
      <x v="130"/>
    </i>
    <i>
      <x v="131"/>
    </i>
    <i>
      <x v="134"/>
    </i>
    <i>
      <x v="136"/>
    </i>
    <i>
      <x v="137"/>
    </i>
    <i>
      <x v="140"/>
    </i>
    <i>
      <x v="141"/>
    </i>
    <i>
      <x v="153"/>
    </i>
    <i>
      <x v="154"/>
    </i>
    <i>
      <x v="155"/>
    </i>
    <i>
      <x v="156"/>
    </i>
    <i>
      <x v="158"/>
    </i>
    <i>
      <x v="161"/>
    </i>
    <i>
      <x v="165"/>
    </i>
    <i>
      <x v="166"/>
    </i>
    <i>
      <x v="170"/>
    </i>
    <i>
      <x v="172"/>
    </i>
    <i>
      <x v="174"/>
    </i>
    <i>
      <x v="182"/>
    </i>
    <i>
      <x v="187"/>
    </i>
    <i>
      <x v="189"/>
    </i>
    <i>
      <x v="190"/>
    </i>
    <i>
      <x v="194"/>
    </i>
    <i>
      <x v="202"/>
    </i>
    <i>
      <x v="203"/>
    </i>
    <i>
      <x v="208"/>
    </i>
    <i>
      <x v="209"/>
    </i>
    <i>
      <x v="210"/>
    </i>
    <i>
      <x v="213"/>
    </i>
    <i>
      <x v="221"/>
    </i>
    <i>
      <x v="226"/>
    </i>
    <i>
      <x v="230"/>
    </i>
    <i>
      <x v="232"/>
    </i>
    <i>
      <x v="235"/>
    </i>
    <i>
      <x v="236"/>
    </i>
    <i>
      <x v="237"/>
    </i>
    <i>
      <x v="238"/>
    </i>
    <i>
      <x v="242"/>
    </i>
    <i>
      <x v="243"/>
    </i>
    <i>
      <x v="245"/>
    </i>
    <i>
      <x v="246"/>
    </i>
    <i>
      <x v="249"/>
    </i>
    <i>
      <x v="250"/>
    </i>
    <i>
      <x v="251"/>
    </i>
    <i>
      <x v="253"/>
    </i>
    <i>
      <x v="254"/>
    </i>
    <i>
      <x v="262"/>
    </i>
    <i>
      <x v="266"/>
    </i>
    <i>
      <x v="276"/>
    </i>
    <i>
      <x v="281"/>
    </i>
    <i>
      <x v="282"/>
    </i>
    <i>
      <x v="285"/>
    </i>
    <i>
      <x v="287"/>
    </i>
    <i>
      <x v="288"/>
    </i>
    <i>
      <x v="294"/>
    </i>
    <i>
      <x v="298"/>
    </i>
  </rowItems>
  <colItems count="1">
    <i/>
  </colItems>
  <pageFields count="1">
    <pageField fld="10" hier="-1"/>
  </pageFields>
  <dataFields count="1">
    <dataField name="Average of Engagement Rate" fld="12" subtotal="average" baseField="1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F164BA-58DD-47CA-9D37-AE0634F2764B}" name="PivotTable5" cacheId="2" applyNumberFormats="0" applyBorderFormats="0" applyFontFormats="0" applyPatternFormats="0" applyAlignmentFormats="0" applyWidthHeightFormats="1" dataCaption="Values" updatedVersion="8" minRefreshableVersion="3" rowGrandTotals="0" itemPrintTitles="1" createdVersion="8" indent="0" showHeaders="0" outline="1" outlineData="1" multipleFieldFilters="0">
  <location ref="A3:B9" firstHeaderRow="1" firstDataRow="1" firstDataCol="1"/>
  <pivotFields count="13">
    <pivotField showAll="0"/>
    <pivotField showAll="0"/>
    <pivotField numFmtId="14" showAll="0"/>
    <pivotField showAll="0"/>
    <pivotField showAll="0"/>
    <pivotField showAll="0"/>
    <pivotField showAll="0"/>
    <pivotField showAll="0"/>
    <pivotField showAll="0"/>
    <pivotField showAll="0"/>
    <pivotField axis="axisRow" dataField="1" showAll="0" sortType="descending">
      <items count="8">
        <item x="1"/>
        <item x="3"/>
        <item x="4"/>
        <item x="0"/>
        <item x="5"/>
        <item x="2"/>
        <item m="1" x="6"/>
        <item t="default"/>
      </items>
      <autoSortScope>
        <pivotArea dataOnly="0" outline="0" fieldPosition="0">
          <references count="1">
            <reference field="4294967294" count="1" selected="0">
              <x v="0"/>
            </reference>
          </references>
        </pivotArea>
      </autoSortScope>
    </pivotField>
    <pivotField showAll="0"/>
    <pivotField numFmtId="10" showAll="0"/>
  </pivotFields>
  <rowFields count="1">
    <field x="10"/>
  </rowFields>
  <rowItems count="6">
    <i>
      <x v="5"/>
    </i>
    <i>
      <x v="3"/>
    </i>
    <i>
      <x v="2"/>
    </i>
    <i>
      <x/>
    </i>
    <i>
      <x v="1"/>
    </i>
    <i>
      <x v="4"/>
    </i>
  </rowItems>
  <colItems count="1">
    <i/>
  </colItems>
  <dataFields count="1">
    <dataField name="Count of Hashtags Used" fld="10" subtotal="count"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D31FAAD-6FA7-44A9-B54E-0F423D27DB88}" name="PivotTable9" cacheId="3" applyNumberFormats="0" applyBorderFormats="0" applyFontFormats="0" applyPatternFormats="0" applyAlignmentFormats="0" applyWidthHeightFormats="1" dataCaption="Values" updatedVersion="8" minRefreshableVersion="3" rowGrandTotals="0" itemPrintTitles="1" createdVersion="8" indent="0" showHeaders="0" outline="1" outlineData="1" multipleFieldFilters="0" chartFormat="20">
  <location ref="A3:C9" firstHeaderRow="0" firstDataRow="1" firstDataCol="1"/>
  <pivotFields count="17">
    <pivotField showAll="0"/>
    <pivotField showAll="0"/>
    <pivotField numFmtId="14" showAll="0">
      <items count="199">
        <item x="164"/>
        <item x="151"/>
        <item x="81"/>
        <item x="116"/>
        <item x="78"/>
        <item x="185"/>
        <item x="47"/>
        <item x="90"/>
        <item x="161"/>
        <item x="49"/>
        <item x="92"/>
        <item x="117"/>
        <item x="52"/>
        <item x="195"/>
        <item x="136"/>
        <item x="94"/>
        <item x="56"/>
        <item x="18"/>
        <item x="6"/>
        <item x="4"/>
        <item x="162"/>
        <item x="87"/>
        <item x="48"/>
        <item x="79"/>
        <item x="137"/>
        <item x="112"/>
        <item x="7"/>
        <item x="114"/>
        <item x="165"/>
        <item x="155"/>
        <item x="11"/>
        <item x="123"/>
        <item x="74"/>
        <item x="62"/>
        <item x="140"/>
        <item x="97"/>
        <item x="31"/>
        <item x="70"/>
        <item x="173"/>
        <item x="175"/>
        <item x="160"/>
        <item x="96"/>
        <item x="124"/>
        <item x="3"/>
        <item x="86"/>
        <item x="133"/>
        <item x="146"/>
        <item x="60"/>
        <item x="17"/>
        <item x="178"/>
        <item x="32"/>
        <item x="118"/>
        <item x="125"/>
        <item x="15"/>
        <item x="171"/>
        <item x="8"/>
        <item x="115"/>
        <item x="66"/>
        <item x="58"/>
        <item x="107"/>
        <item x="19"/>
        <item x="85"/>
        <item x="145"/>
        <item x="148"/>
        <item x="26"/>
        <item x="89"/>
        <item x="190"/>
        <item x="108"/>
        <item x="100"/>
        <item x="188"/>
        <item x="143"/>
        <item x="99"/>
        <item x="158"/>
        <item x="72"/>
        <item x="170"/>
        <item x="184"/>
        <item x="75"/>
        <item x="183"/>
        <item x="68"/>
        <item x="73"/>
        <item x="54"/>
        <item x="122"/>
        <item x="14"/>
        <item x="168"/>
        <item x="177"/>
        <item x="69"/>
        <item x="113"/>
        <item x="5"/>
        <item x="44"/>
        <item x="104"/>
        <item x="182"/>
        <item x="22"/>
        <item x="71"/>
        <item x="84"/>
        <item x="129"/>
        <item x="101"/>
        <item x="193"/>
        <item x="12"/>
        <item x="152"/>
        <item x="59"/>
        <item x="98"/>
        <item x="38"/>
        <item x="186"/>
        <item x="111"/>
        <item x="144"/>
        <item x="34"/>
        <item x="130"/>
        <item x="134"/>
        <item x="64"/>
        <item x="76"/>
        <item x="83"/>
        <item x="42"/>
        <item x="30"/>
        <item x="139"/>
        <item x="53"/>
        <item x="147"/>
        <item x="192"/>
        <item x="121"/>
        <item x="142"/>
        <item x="0"/>
        <item x="197"/>
        <item x="153"/>
        <item x="132"/>
        <item x="120"/>
        <item x="50"/>
        <item x="20"/>
        <item x="36"/>
        <item x="80"/>
        <item x="141"/>
        <item x="169"/>
        <item x="174"/>
        <item x="150"/>
        <item x="135"/>
        <item x="166"/>
        <item x="23"/>
        <item x="77"/>
        <item x="57"/>
        <item x="179"/>
        <item x="28"/>
        <item x="10"/>
        <item x="93"/>
        <item x="109"/>
        <item x="105"/>
        <item x="88"/>
        <item x="196"/>
        <item x="176"/>
        <item x="13"/>
        <item x="37"/>
        <item x="126"/>
        <item x="180"/>
        <item x="46"/>
        <item x="29"/>
        <item x="21"/>
        <item x="43"/>
        <item x="67"/>
        <item x="27"/>
        <item x="41"/>
        <item x="167"/>
        <item x="39"/>
        <item x="40"/>
        <item x="9"/>
        <item x="51"/>
        <item x="103"/>
        <item x="154"/>
        <item x="138"/>
        <item x="187"/>
        <item x="91"/>
        <item x="82"/>
        <item x="95"/>
        <item x="33"/>
        <item x="172"/>
        <item x="61"/>
        <item x="63"/>
        <item x="127"/>
        <item x="65"/>
        <item x="1"/>
        <item x="25"/>
        <item x="106"/>
        <item x="149"/>
        <item x="128"/>
        <item x="24"/>
        <item x="181"/>
        <item x="55"/>
        <item x="191"/>
        <item x="35"/>
        <item x="119"/>
        <item x="110"/>
        <item x="131"/>
        <item x="163"/>
        <item x="156"/>
        <item x="45"/>
        <item x="16"/>
        <item x="157"/>
        <item x="189"/>
        <item x="102"/>
        <item x="2"/>
        <item x="159"/>
        <item x="194"/>
        <item t="default"/>
      </items>
    </pivotField>
    <pivotField axis="axisRow" showAll="0" sortType="ascending">
      <items count="7">
        <item x="3"/>
        <item x="4"/>
        <item x="0"/>
        <item x="2"/>
        <item x="1"/>
        <item x="5"/>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v="4"/>
    </i>
    <i>
      <x v="1"/>
    </i>
    <i>
      <x v="5"/>
    </i>
    <i>
      <x/>
    </i>
    <i>
      <x v="2"/>
    </i>
    <i>
      <x v="3"/>
    </i>
  </rowItems>
  <colFields count="1">
    <field x="-2"/>
  </colFields>
  <colItems count="2">
    <i>
      <x/>
    </i>
    <i i="1">
      <x v="1"/>
    </i>
  </colItems>
  <dataFields count="2">
    <dataField name="Avg Engagements" fld="13" subtotal="average" baseField="3" baseItem="4" numFmtId="1"/>
    <dataField name="Avg Engagement Rate" fld="12" subtotal="average" baseField="3" baseItem="3" numFmtId="10"/>
  </dataFields>
  <formats count="2">
    <format dxfId="59">
      <pivotArea outline="0" collapsedLevelsAreSubtotals="1" fieldPosition="0"/>
    </format>
    <format dxfId="58">
      <pivotArea outline="0" collapsedLevelsAreSubtotals="1" fieldPosition="0">
        <references count="1">
          <reference field="4294967294" count="1" selected="0">
            <x v="0"/>
          </reference>
        </references>
      </pivotArea>
    </format>
  </formats>
  <conditionalFormats count="1">
    <conditionalFormat priority="2">
      <pivotAreas count="1">
        <pivotArea type="data" outline="0" collapsedLevelsAreSubtotals="1" fieldPosition="0">
          <references count="1">
            <reference field="4294967294" count="1" selected="0">
              <x v="1"/>
            </reference>
          </references>
        </pivotArea>
      </pivotAreas>
    </conditionalFormat>
  </conditionalFormats>
  <chartFormats count="10">
    <chartFormat chart="0" format="0"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1"/>
          </reference>
        </references>
      </pivotArea>
    </chartFormat>
    <chartFormat chart="4" format="3">
      <pivotArea type="data" outline="0" fieldPosition="0">
        <references count="2">
          <reference field="4294967294" count="1" selected="0">
            <x v="1"/>
          </reference>
          <reference field="3" count="1" selected="0">
            <x v="4"/>
          </reference>
        </references>
      </pivotArea>
    </chartFormat>
    <chartFormat chart="4" format="4">
      <pivotArea type="data" outline="0" fieldPosition="0">
        <references count="2">
          <reference field="4294967294" count="1" selected="0">
            <x v="1"/>
          </reference>
          <reference field="3" count="1" selected="0">
            <x v="1"/>
          </reference>
        </references>
      </pivotArea>
    </chartFormat>
    <chartFormat chart="4" format="5">
      <pivotArea type="data" outline="0" fieldPosition="0">
        <references count="2">
          <reference field="4294967294" count="1" selected="0">
            <x v="1"/>
          </reference>
          <reference field="3" count="1" selected="0">
            <x v="5"/>
          </reference>
        </references>
      </pivotArea>
    </chartFormat>
    <chartFormat chart="4" format="6">
      <pivotArea type="data" outline="0" fieldPosition="0">
        <references count="2">
          <reference field="4294967294" count="1" selected="0">
            <x v="1"/>
          </reference>
          <reference field="3" count="1" selected="0">
            <x v="0"/>
          </reference>
        </references>
      </pivotArea>
    </chartFormat>
    <chartFormat chart="4" format="7">
      <pivotArea type="data" outline="0" fieldPosition="0">
        <references count="2">
          <reference field="4294967294" count="1" selected="0">
            <x v="1"/>
          </reference>
          <reference field="3" count="1" selected="0">
            <x v="2"/>
          </reference>
        </references>
      </pivotArea>
    </chartFormat>
    <chartFormat chart="4" format="8">
      <pivotArea type="data" outline="0" fieldPosition="0">
        <references count="2">
          <reference field="4294967294" count="1" selected="0">
            <x v="1"/>
          </reference>
          <reference field="3" count="1" selected="0">
            <x v="3"/>
          </reference>
        </references>
      </pivotArea>
    </chartFormat>
    <chartFormat chart="4" format="9"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119B165-345A-44BA-83C7-A616F0816D2D}" name="PivotTable10" cacheId="3"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25:B31" firstHeaderRow="1" firstDataRow="1" firstDataCol="1"/>
  <pivotFields count="17">
    <pivotField showAll="0"/>
    <pivotField showAll="0" sortType="descending">
      <items count="5">
        <item h="1" x="3"/>
        <item x="2"/>
        <item h="1" x="0"/>
        <item h="1" x="1"/>
        <item t="default"/>
      </items>
      <autoSortScope>
        <pivotArea dataOnly="0" outline="0" fieldPosition="0">
          <references count="1">
            <reference field="4294967294" count="1" selected="0">
              <x v="0"/>
            </reference>
          </references>
        </pivotArea>
      </autoSortScope>
    </pivotField>
    <pivotField numFmtId="14" showAll="0">
      <items count="199">
        <item x="164"/>
        <item x="151"/>
        <item x="81"/>
        <item x="116"/>
        <item x="78"/>
        <item x="185"/>
        <item x="47"/>
        <item x="90"/>
        <item x="161"/>
        <item x="49"/>
        <item x="92"/>
        <item x="117"/>
        <item x="52"/>
        <item x="195"/>
        <item x="136"/>
        <item x="94"/>
        <item x="56"/>
        <item x="18"/>
        <item x="6"/>
        <item x="4"/>
        <item x="162"/>
        <item x="87"/>
        <item x="48"/>
        <item x="79"/>
        <item x="137"/>
        <item x="112"/>
        <item x="7"/>
        <item x="114"/>
        <item x="165"/>
        <item x="155"/>
        <item x="11"/>
        <item x="123"/>
        <item x="74"/>
        <item x="62"/>
        <item x="140"/>
        <item x="97"/>
        <item x="31"/>
        <item x="70"/>
        <item x="173"/>
        <item x="175"/>
        <item x="160"/>
        <item x="96"/>
        <item x="124"/>
        <item x="3"/>
        <item x="86"/>
        <item x="133"/>
        <item x="146"/>
        <item x="60"/>
        <item x="17"/>
        <item x="178"/>
        <item x="32"/>
        <item x="118"/>
        <item x="125"/>
        <item x="15"/>
        <item x="171"/>
        <item x="8"/>
        <item x="115"/>
        <item x="66"/>
        <item x="58"/>
        <item x="107"/>
        <item x="19"/>
        <item x="85"/>
        <item x="145"/>
        <item x="148"/>
        <item x="26"/>
        <item x="89"/>
        <item x="190"/>
        <item x="108"/>
        <item x="100"/>
        <item x="188"/>
        <item x="143"/>
        <item x="99"/>
        <item x="158"/>
        <item x="72"/>
        <item x="170"/>
        <item x="184"/>
        <item x="75"/>
        <item x="183"/>
        <item x="68"/>
        <item x="73"/>
        <item x="54"/>
        <item x="122"/>
        <item x="14"/>
        <item x="168"/>
        <item x="177"/>
        <item x="69"/>
        <item x="113"/>
        <item x="5"/>
        <item x="44"/>
        <item x="104"/>
        <item x="182"/>
        <item x="22"/>
        <item x="71"/>
        <item x="84"/>
        <item x="129"/>
        <item x="101"/>
        <item x="193"/>
        <item x="12"/>
        <item x="152"/>
        <item x="59"/>
        <item x="98"/>
        <item x="38"/>
        <item x="186"/>
        <item x="111"/>
        <item x="144"/>
        <item x="34"/>
        <item x="130"/>
        <item x="134"/>
        <item x="64"/>
        <item x="76"/>
        <item x="83"/>
        <item x="42"/>
        <item x="30"/>
        <item x="139"/>
        <item x="53"/>
        <item x="147"/>
        <item x="192"/>
        <item x="121"/>
        <item x="142"/>
        <item x="0"/>
        <item x="197"/>
        <item x="153"/>
        <item x="132"/>
        <item x="120"/>
        <item x="50"/>
        <item x="20"/>
        <item x="36"/>
        <item x="80"/>
        <item x="141"/>
        <item x="169"/>
        <item x="174"/>
        <item x="150"/>
        <item x="135"/>
        <item x="166"/>
        <item x="23"/>
        <item x="77"/>
        <item x="57"/>
        <item x="179"/>
        <item x="28"/>
        <item x="10"/>
        <item x="93"/>
        <item x="109"/>
        <item x="105"/>
        <item x="88"/>
        <item x="196"/>
        <item x="176"/>
        <item x="13"/>
        <item x="37"/>
        <item x="126"/>
        <item x="180"/>
        <item x="46"/>
        <item x="29"/>
        <item x="21"/>
        <item x="43"/>
        <item x="67"/>
        <item x="27"/>
        <item x="41"/>
        <item x="167"/>
        <item x="39"/>
        <item x="40"/>
        <item x="9"/>
        <item x="51"/>
        <item x="103"/>
        <item x="154"/>
        <item x="138"/>
        <item x="187"/>
        <item x="91"/>
        <item x="82"/>
        <item x="95"/>
        <item x="33"/>
        <item x="172"/>
        <item x="61"/>
        <item x="63"/>
        <item x="127"/>
        <item x="65"/>
        <item x="1"/>
        <item x="25"/>
        <item x="106"/>
        <item x="149"/>
        <item x="128"/>
        <item x="24"/>
        <item x="181"/>
        <item x="55"/>
        <item x="191"/>
        <item x="35"/>
        <item x="119"/>
        <item x="110"/>
        <item x="131"/>
        <item x="163"/>
        <item x="156"/>
        <item x="45"/>
        <item x="16"/>
        <item x="157"/>
        <item x="189"/>
        <item x="102"/>
        <item x="2"/>
        <item x="159"/>
        <item x="194"/>
        <item t="default"/>
      </items>
    </pivotField>
    <pivotField axis="axisRow" showAll="0" sortType="descending">
      <items count="7">
        <item x="3"/>
        <item x="4"/>
        <item x="0"/>
        <item x="2"/>
        <item x="1"/>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6">
    <i>
      <x v="2"/>
    </i>
    <i>
      <x v="3"/>
    </i>
    <i>
      <x v="5"/>
    </i>
    <i>
      <x v="1"/>
    </i>
    <i>
      <x/>
    </i>
    <i>
      <x v="4"/>
    </i>
  </rowItems>
  <colItems count="1">
    <i/>
  </colItems>
  <dataFields count="1">
    <dataField name="Average of Engagement Rate" fld="12" subtotal="average" baseField="1" baseItem="0" numFmtId="10"/>
  </dataFields>
  <formats count="1">
    <format dxfId="60">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F0CDEF4-6953-453D-B091-F07EC72D7A63}" name="PivotTable12" cacheId="0" applyNumberFormats="0" applyBorderFormats="0" applyFontFormats="0" applyPatternFormats="0" applyAlignmentFormats="0" applyWidthHeightFormats="1" dataCaption="Values" updatedVersion="8" minRefreshableVersion="3" rowGrandTotals="0" itemPrintTitles="1" createdVersion="8" indent="0" showHeaders="0" outline="1" outlineData="1" multipleFieldFilters="0" chartFormat="2">
  <location ref="A20:D24" firstHeaderRow="0" firstDataRow="1" firstDataCol="1"/>
  <pivotFields count="13">
    <pivotField axis="axisRow" showAll="0">
      <items count="5">
        <item x="0"/>
        <item x="2"/>
        <item x="1"/>
        <item x="3"/>
        <item t="default"/>
      </items>
    </pivotField>
    <pivotField numFmtId="14" showAll="0"/>
    <pivotField numFmtId="14" showAll="0"/>
    <pivotField showAll="0"/>
    <pivotField showAll="0"/>
    <pivotField showAll="0"/>
    <pivotField showAll="0"/>
    <pivotField dataField="1" numFmtId="10" showAll="0"/>
    <pivotField dataField="1" numFmtId="10" showAll="0"/>
    <pivotField dataField="1" numFmtId="10" showAll="0"/>
    <pivotField numFmtId="1" showAll="0"/>
    <pivotField showAll="0"/>
    <pivotField showAll="0"/>
  </pivotFields>
  <rowFields count="1">
    <field x="0"/>
  </rowFields>
  <rowItems count="4">
    <i>
      <x/>
    </i>
    <i>
      <x v="1"/>
    </i>
    <i>
      <x v="2"/>
    </i>
    <i>
      <x v="3"/>
    </i>
  </rowItems>
  <colFields count="1">
    <field x="-2"/>
  </colFields>
  <colItems count="3">
    <i>
      <x/>
    </i>
    <i i="1">
      <x v="1"/>
    </i>
    <i i="2">
      <x v="2"/>
    </i>
  </colItems>
  <dataFields count="3">
    <dataField name="Engagement Rate During" fld="7" baseField="0" baseItem="0" numFmtId="2"/>
    <dataField name="Engagement Rate Before" fld="8" baseField="0" baseItem="0" numFmtId="2"/>
    <dataField name="Engagement-Uplift" fld="9" baseField="0" baseItem="0" numFmtId="10"/>
  </dataFields>
  <formats count="5">
    <format dxfId="52">
      <pivotArea outline="0" collapsedLevelsAreSubtotals="1" fieldPosition="0">
        <references count="1">
          <reference field="4294967294" count="2" selected="0">
            <x v="0"/>
            <x v="1"/>
          </reference>
        </references>
      </pivotArea>
    </format>
    <format dxfId="51">
      <pivotArea collapsedLevelsAreSubtotals="1" fieldPosition="0">
        <references count="1">
          <reference field="0" count="1">
            <x v="1"/>
          </reference>
        </references>
      </pivotArea>
    </format>
    <format dxfId="50">
      <pivotArea dataOnly="0" labelOnly="1" fieldPosition="0">
        <references count="1">
          <reference field="0" count="1">
            <x v="1"/>
          </reference>
        </references>
      </pivotArea>
    </format>
    <format dxfId="49">
      <pivotArea collapsedLevelsAreSubtotals="1" fieldPosition="0">
        <references count="1">
          <reference field="0" count="1">
            <x v="1"/>
          </reference>
        </references>
      </pivotArea>
    </format>
    <format dxfId="48">
      <pivotArea dataOnly="0" labelOnly="1" fieldPosition="0">
        <references count="1">
          <reference field="0" count="1">
            <x v="1"/>
          </reference>
        </references>
      </pivotArea>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696D2C4-CFB3-4309-BE1A-0EBC24A05963}" name="PivotTable11" cacheId="3" applyNumberFormats="0" applyBorderFormats="0" applyFontFormats="0" applyPatternFormats="0" applyAlignmentFormats="0" applyWidthHeightFormats="1" dataCaption="Values" updatedVersion="8" minRefreshableVersion="3" rowGrandTotals="0" itemPrintTitles="1" createdVersion="8" indent="0" showHeaders="0" outline="1" outlineData="1" multipleFieldFilters="0">
  <location ref="A3:H7" firstHeaderRow="0" firstDataRow="1" firstDataCol="1"/>
  <pivotFields count="17">
    <pivotField showAll="0"/>
    <pivotField showAll="0"/>
    <pivotField numFmtId="14" showAll="0">
      <items count="199">
        <item x="164"/>
        <item x="151"/>
        <item x="81"/>
        <item x="116"/>
        <item x="78"/>
        <item x="185"/>
        <item x="47"/>
        <item x="90"/>
        <item x="161"/>
        <item x="49"/>
        <item x="92"/>
        <item x="117"/>
        <item x="52"/>
        <item x="195"/>
        <item x="136"/>
        <item x="94"/>
        <item x="56"/>
        <item x="18"/>
        <item x="6"/>
        <item x="4"/>
        <item x="162"/>
        <item x="87"/>
        <item x="48"/>
        <item x="79"/>
        <item x="137"/>
        <item x="112"/>
        <item x="7"/>
        <item x="114"/>
        <item x="165"/>
        <item x="155"/>
        <item x="11"/>
        <item x="123"/>
        <item x="74"/>
        <item x="62"/>
        <item x="140"/>
        <item x="97"/>
        <item x="31"/>
        <item x="70"/>
        <item x="173"/>
        <item x="175"/>
        <item x="160"/>
        <item x="96"/>
        <item x="124"/>
        <item x="3"/>
        <item x="86"/>
        <item x="133"/>
        <item x="146"/>
        <item x="60"/>
        <item x="17"/>
        <item x="178"/>
        <item x="32"/>
        <item x="118"/>
        <item x="125"/>
        <item x="15"/>
        <item x="171"/>
        <item x="8"/>
        <item x="115"/>
        <item x="66"/>
        <item x="58"/>
        <item x="107"/>
        <item x="19"/>
        <item x="85"/>
        <item x="145"/>
        <item x="148"/>
        <item x="26"/>
        <item x="89"/>
        <item x="190"/>
        <item x="108"/>
        <item x="100"/>
        <item x="188"/>
        <item x="143"/>
        <item x="99"/>
        <item x="158"/>
        <item x="72"/>
        <item x="170"/>
        <item x="184"/>
        <item x="75"/>
        <item x="183"/>
        <item x="68"/>
        <item x="73"/>
        <item x="54"/>
        <item x="122"/>
        <item x="14"/>
        <item x="168"/>
        <item x="177"/>
        <item x="69"/>
        <item x="113"/>
        <item x="5"/>
        <item x="44"/>
        <item x="104"/>
        <item x="182"/>
        <item x="22"/>
        <item x="71"/>
        <item x="84"/>
        <item x="129"/>
        <item x="101"/>
        <item x="193"/>
        <item x="12"/>
        <item x="152"/>
        <item x="59"/>
        <item x="98"/>
        <item x="38"/>
        <item x="186"/>
        <item x="111"/>
        <item x="144"/>
        <item x="34"/>
        <item x="130"/>
        <item x="134"/>
        <item x="64"/>
        <item x="76"/>
        <item x="83"/>
        <item x="42"/>
        <item x="30"/>
        <item x="139"/>
        <item x="53"/>
        <item x="147"/>
        <item x="192"/>
        <item x="121"/>
        <item x="142"/>
        <item x="0"/>
        <item x="197"/>
        <item x="153"/>
        <item x="132"/>
        <item x="120"/>
        <item x="50"/>
        <item x="20"/>
        <item x="36"/>
        <item x="80"/>
        <item x="141"/>
        <item x="169"/>
        <item x="174"/>
        <item x="150"/>
        <item x="135"/>
        <item x="166"/>
        <item x="23"/>
        <item x="77"/>
        <item x="57"/>
        <item x="179"/>
        <item x="28"/>
        <item x="10"/>
        <item x="93"/>
        <item x="109"/>
        <item x="105"/>
        <item x="88"/>
        <item x="196"/>
        <item x="176"/>
        <item x="13"/>
        <item x="37"/>
        <item x="126"/>
        <item x="180"/>
        <item x="46"/>
        <item x="29"/>
        <item x="21"/>
        <item x="43"/>
        <item x="67"/>
        <item x="27"/>
        <item x="41"/>
        <item x="167"/>
        <item x="39"/>
        <item x="40"/>
        <item x="9"/>
        <item x="51"/>
        <item x="103"/>
        <item x="154"/>
        <item x="138"/>
        <item x="187"/>
        <item x="91"/>
        <item x="82"/>
        <item x="95"/>
        <item x="33"/>
        <item x="172"/>
        <item x="61"/>
        <item x="63"/>
        <item x="127"/>
        <item x="65"/>
        <item x="1"/>
        <item x="25"/>
        <item x="106"/>
        <item x="149"/>
        <item x="128"/>
        <item x="24"/>
        <item x="181"/>
        <item x="55"/>
        <item x="191"/>
        <item x="35"/>
        <item x="119"/>
        <item x="110"/>
        <item x="131"/>
        <item x="163"/>
        <item x="156"/>
        <item x="45"/>
        <item x="16"/>
        <item x="157"/>
        <item x="189"/>
        <item x="102"/>
        <item x="2"/>
        <item x="159"/>
        <item x="194"/>
        <item t="default"/>
      </items>
    </pivotField>
    <pivotField showAll="0"/>
    <pivotField dataField="1" showAll="0"/>
    <pivotField showAll="0"/>
    <pivotField showAll="0"/>
    <pivotField dataField="1" showAll="0"/>
    <pivotField showAll="0"/>
    <pivotField dataField="1" showAll="0"/>
    <pivotField showAll="0"/>
    <pivotField axis="axisRow" dataField="1" multipleItemSelectionAllowed="1" showAll="0" sortType="descending">
      <items count="6">
        <item x="0"/>
        <item x="2"/>
        <item x="1"/>
        <item h="1" x="4"/>
        <item x="3"/>
        <item t="default"/>
      </items>
      <autoSortScope>
        <pivotArea dataOnly="0" outline="0" fieldPosition="0">
          <references count="1">
            <reference field="4294967294" count="1" selected="0">
              <x v="1"/>
            </reference>
          </references>
        </pivotArea>
      </autoSortScope>
    </pivotField>
    <pivotField numFmtId="10" showAll="0"/>
    <pivotField showAll="0"/>
    <pivotField showAll="0" defaultSubtotal="0"/>
    <pivotField showAll="0" defaultSubtotal="0"/>
    <pivotField showAll="0" defaultSubtotal="0">
      <items count="4">
        <item x="0"/>
        <item x="1"/>
        <item x="2"/>
        <item x="3"/>
      </items>
    </pivotField>
  </pivotFields>
  <rowFields count="1">
    <field x="11"/>
  </rowFields>
  <rowItems count="4">
    <i>
      <x v="4"/>
    </i>
    <i>
      <x v="1"/>
    </i>
    <i>
      <x v="2"/>
    </i>
    <i>
      <x/>
    </i>
  </rowItems>
  <colFields count="1">
    <field x="-2"/>
  </colFields>
  <colItems count="7">
    <i>
      <x/>
    </i>
    <i i="1">
      <x v="1"/>
    </i>
    <i i="2">
      <x v="2"/>
    </i>
    <i i="3">
      <x v="3"/>
    </i>
    <i i="4">
      <x v="4"/>
    </i>
    <i i="5">
      <x v="5"/>
    </i>
    <i i="6">
      <x v="6"/>
    </i>
  </colItems>
  <dataFields count="7">
    <dataField name="Post Count" fld="11" subtotal="count" baseField="11" baseItem="4"/>
    <dataField name="Total Impressions" fld="7" baseField="11" baseItem="4"/>
    <dataField name="Total Likes" fld="4" baseField="11" baseItem="4"/>
    <dataField name="Total Clicks" fld="9" baseField="11" baseItem="4"/>
    <dataField name="Avg Impressions" fld="7" subtotal="average" baseField="11" baseItem="0" numFmtId="1"/>
    <dataField name="Avg Likes" fld="4" subtotal="average" baseField="11" baseItem="0" numFmtId="1"/>
    <dataField name="Avg Clicks" fld="9" subtotal="average" baseField="11" baseItem="0" numFmtId="1"/>
  </dataFields>
  <formats count="5">
    <format dxfId="57">
      <pivotArea outline="0" collapsedLevelsAreSubtotals="1" fieldPosition="0">
        <references count="1">
          <reference field="4294967294" count="3" selected="0">
            <x v="4"/>
            <x v="5"/>
            <x v="6"/>
          </reference>
        </references>
      </pivotArea>
    </format>
    <format dxfId="56">
      <pivotArea collapsedLevelsAreSubtotals="1" fieldPosition="0">
        <references count="2">
          <reference field="4294967294" count="1" selected="0">
            <x v="1"/>
          </reference>
          <reference field="11" count="1">
            <x v="0"/>
          </reference>
        </references>
      </pivotArea>
    </format>
    <format dxfId="55">
      <pivotArea outline="0" collapsedLevelsAreSubtotals="1" fieldPosition="0"/>
    </format>
    <format dxfId="54">
      <pivotArea collapsedLevelsAreSubtotals="1" fieldPosition="0">
        <references count="2">
          <reference field="4294967294" count="2" selected="0">
            <x v="4"/>
            <x v="5"/>
          </reference>
          <reference field="11" count="1">
            <x v="0"/>
          </reference>
        </references>
      </pivotArea>
    </format>
    <format dxfId="53">
      <pivotArea collapsedLevelsAreSubtotals="1" fieldPosition="0">
        <references count="2">
          <reference field="4294967294" count="2" selected="0">
            <x v="4"/>
            <x v="5"/>
          </reference>
          <reference field="11" count="1">
            <x v="0"/>
          </reference>
        </references>
      </pivotArea>
    </format>
  </formats>
  <conditionalFormats count="2">
    <conditionalFormat priority="2">
      <pivotAreas count="1">
        <pivotArea type="data" outline="0" collapsedLevelsAreSubtotals="1" fieldPosition="0">
          <references count="1">
            <reference field="4294967294" count="1" selected="0">
              <x v="4"/>
            </reference>
          </references>
        </pivotArea>
      </pivotAreas>
    </conditionalFormat>
    <conditionalFormat priority="1">
      <pivotAreas count="1">
        <pivotArea type="data" outline="0" collapsedLevelsAreSubtotals="1" fieldPosition="0">
          <references count="1">
            <reference field="4294967294" count="1" selected="0">
              <x v="1"/>
            </reference>
          </references>
        </pivotArea>
      </pivotAreas>
    </conditionalFormat>
  </conditional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FED9EC-2E84-4B10-A145-7C61374D4700}" name="PivotTable13" cacheId="0" applyNumberFormats="0" applyBorderFormats="0" applyFontFormats="0" applyPatternFormats="0" applyAlignmentFormats="0" applyWidthHeightFormats="1" dataCaption="Values" updatedVersion="8" minRefreshableVersion="3" rowGrandTotals="0" itemPrintTitles="1" createdVersion="8" indent="0" showHeaders="0" outline="1" outlineData="1" multipleFieldFilters="0" chartFormat="8">
  <location ref="A3:D7" firstHeaderRow="0" firstDataRow="1" firstDataCol="1"/>
  <pivotFields count="13">
    <pivotField axis="axisRow" showAll="0" sortType="ascending">
      <items count="5">
        <item x="0"/>
        <item x="2"/>
        <item x="1"/>
        <item x="3"/>
        <item t="default"/>
      </items>
      <autoSortScope>
        <pivotArea dataOnly="0" outline="0" fieldPosition="0">
          <references count="1">
            <reference field="4294967294" count="1" selected="0">
              <x v="2"/>
            </reference>
          </references>
        </pivotArea>
      </autoSortScope>
    </pivotField>
    <pivotField numFmtId="14" showAll="0"/>
    <pivotField numFmtId="14" showAll="0"/>
    <pivotField showAll="0"/>
    <pivotField dataField="1" showAll="0"/>
    <pivotField showAll="0"/>
    <pivotField showAll="0"/>
    <pivotField numFmtId="10" showAll="0"/>
    <pivotField numFmtId="10" showAll="0"/>
    <pivotField numFmtId="10" showAll="0"/>
    <pivotField dataField="1" numFmtId="1" showAll="0"/>
    <pivotField dataField="1" showAll="0"/>
    <pivotField showAll="0"/>
  </pivotFields>
  <rowFields count="1">
    <field x="0"/>
  </rowFields>
  <rowItems count="4">
    <i>
      <x/>
    </i>
    <i>
      <x v="2"/>
    </i>
    <i>
      <x v="3"/>
    </i>
    <i>
      <x v="1"/>
    </i>
  </rowItems>
  <colFields count="1">
    <field x="-2"/>
  </colFields>
  <colItems count="3">
    <i>
      <x/>
    </i>
    <i i="1">
      <x v="1"/>
    </i>
    <i i="2">
      <x v="2"/>
    </i>
  </colItems>
  <dataFields count="3">
    <dataField name="Total Engagements" fld="10" baseField="0" baseItem="0" numFmtId="1"/>
    <dataField name="Total Spend" fld="4" baseField="0" baseItem="0" numFmtId="1"/>
    <dataField name="Cost Per Engagement - CPE" fld="11" baseField="0" baseItem="0" numFmtId="164"/>
  </dataFields>
  <formats count="5">
    <format dxfId="47">
      <pivotArea outline="0" collapsedLevelsAreSubtotals="1" fieldPosition="0"/>
    </format>
    <format dxfId="46">
      <pivotArea outline="0" collapsedLevelsAreSubtotals="1" fieldPosition="0">
        <references count="1">
          <reference field="4294967294" count="2" selected="0">
            <x v="0"/>
            <x v="1"/>
          </reference>
        </references>
      </pivotArea>
    </format>
    <format dxfId="45">
      <pivotArea collapsedLevelsAreSubtotals="1" fieldPosition="0">
        <references count="2">
          <reference field="4294967294" count="1" selected="0">
            <x v="2"/>
          </reference>
          <reference field="0" count="1">
            <x v="0"/>
          </reference>
        </references>
      </pivotArea>
    </format>
    <format dxfId="44">
      <pivotArea collapsedLevelsAreSubtotals="1" fieldPosition="0">
        <references count="1">
          <reference field="0" count="1">
            <x v="0"/>
          </reference>
        </references>
      </pivotArea>
    </format>
    <format dxfId="43">
      <pivotArea dataOnly="0" labelOnly="1" fieldPosition="0">
        <references count="1">
          <reference field="0" count="1">
            <x v="0"/>
          </reference>
        </references>
      </pivotArea>
    </format>
  </formats>
  <chartFormats count="10">
    <chartFormat chart="0" format="2" series="1">
      <pivotArea type="data" outline="0" fieldPosition="0">
        <references count="1">
          <reference field="4294967294" count="1" selected="0">
            <x v="2"/>
          </reference>
        </references>
      </pivotArea>
    </chartFormat>
    <chartFormat chart="0" format="4">
      <pivotArea type="data" outline="0" fieldPosition="0">
        <references count="2">
          <reference field="4294967294" count="1" selected="0">
            <x v="2"/>
          </reference>
          <reference field="0" count="1" selected="0">
            <x v="0"/>
          </reference>
        </references>
      </pivotArea>
    </chartFormat>
    <chartFormat chart="0" format="5">
      <pivotArea type="data" outline="0" fieldPosition="0">
        <references count="2">
          <reference field="4294967294" count="1" selected="0">
            <x v="2"/>
          </reference>
          <reference field="0" count="1" selected="0">
            <x v="2"/>
          </reference>
        </references>
      </pivotArea>
    </chartFormat>
    <chartFormat chart="0" format="6">
      <pivotArea type="data" outline="0" fieldPosition="0">
        <references count="2">
          <reference field="4294967294" count="1" selected="0">
            <x v="2"/>
          </reference>
          <reference field="0" count="1" selected="0">
            <x v="3"/>
          </reference>
        </references>
      </pivotArea>
    </chartFormat>
    <chartFormat chart="0" format="7">
      <pivotArea type="data" outline="0" fieldPosition="0">
        <references count="2">
          <reference field="4294967294" count="1" selected="0">
            <x v="2"/>
          </reference>
          <reference field="0" count="1" selected="0">
            <x v="1"/>
          </reference>
        </references>
      </pivotArea>
    </chartFormat>
    <chartFormat chart="0" format="8"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1"/>
          </reference>
        </references>
      </pivotArea>
    </chartFormat>
    <chartFormat chart="6" format="13" series="1">
      <pivotArea type="data" outline="0" fieldPosition="0">
        <references count="1">
          <reference field="4294967294" count="1" selected="0">
            <x v="0"/>
          </reference>
        </references>
      </pivotArea>
    </chartFormat>
    <chartFormat chart="6" format="14" series="1">
      <pivotArea type="data" outline="0" fieldPosition="0">
        <references count="1">
          <reference field="4294967294" count="1" selected="0">
            <x v="1"/>
          </reference>
        </references>
      </pivotArea>
    </chartFormat>
    <chartFormat chart="6" format="15" series="1">
      <pivotArea type="data" outline="0" fieldPosition="0">
        <references count="1">
          <reference field="4294967294" count="1" selected="0">
            <x v="2"/>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2BDD3CA-2B16-4149-9FA9-639270CE74D3}" name="PivotTable1" cacheId="0" applyNumberFormats="0" applyBorderFormats="0" applyFontFormats="0" applyPatternFormats="0" applyAlignmentFormats="0" applyWidthHeightFormats="1" dataCaption="Values" updatedVersion="8" minRefreshableVersion="3" rowGrandTotals="0" itemPrintTitles="1" createdVersion="8" indent="0" showHeaders="0" outline="1" outlineData="1" multipleFieldFilters="0" chartFormat="4">
  <location ref="A24:B28" firstHeaderRow="1" firstDataRow="1" firstDataCol="1"/>
  <pivotFields count="13">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numFmtId="14" showAll="0"/>
    <pivotField numFmtId="14" showAll="0"/>
    <pivotField showAll="0"/>
    <pivotField showAll="0"/>
    <pivotField showAll="0"/>
    <pivotField showAll="0"/>
    <pivotField numFmtId="2" showAll="0"/>
    <pivotField numFmtId="2" showAll="0"/>
    <pivotField numFmtId="10" showAll="0"/>
    <pivotField numFmtId="1" showAll="0"/>
    <pivotField showAll="0"/>
    <pivotField dataField="1" showAll="0"/>
  </pivotFields>
  <rowFields count="1">
    <field x="0"/>
  </rowFields>
  <rowItems count="4">
    <i>
      <x v="3"/>
    </i>
    <i>
      <x/>
    </i>
    <i>
      <x v="2"/>
    </i>
    <i>
      <x v="1"/>
    </i>
  </rowItems>
  <colItems count="1">
    <i/>
  </colItems>
  <dataFields count="1">
    <dataField name="Total Follower Growth" fld="12"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04519A9-27B5-42BA-980C-3C6F63F0C862}" name="PivotTable2" cacheId="1" applyNumberFormats="0" applyBorderFormats="0" applyFontFormats="0" applyPatternFormats="0" applyAlignmentFormats="0" applyWidthHeightFormats="1" dataCaption="Values" updatedVersion="8" minRefreshableVersion="5" rowGrandTotals="0" colGrandTotals="0" itemPrintTitles="1" createdVersion="8" indent="0" showHeaders="0" outline="1" outlineData="1" multipleFieldFilters="0" chartFormat="2">
  <location ref="A3:E18" firstHeaderRow="1" firstDataRow="2" firstDataCol="1"/>
  <pivotFields count="12">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Col" showAll="0">
      <items count="5">
        <item x="1"/>
        <item x="0"/>
        <item x="2"/>
        <item x="3"/>
        <item t="default"/>
      </items>
    </pivotField>
    <pivotField showAll="0"/>
    <pivotField showAll="0"/>
    <pivotField showAll="0"/>
    <pivotField showAll="0"/>
    <pivotField showAll="0"/>
    <pivotField dataField="1"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14">
    <i>
      <x v="4"/>
    </i>
    <i>
      <x v="5"/>
    </i>
    <i>
      <x v="6"/>
    </i>
    <i>
      <x v="7"/>
    </i>
    <i>
      <x v="8"/>
    </i>
    <i>
      <x v="9"/>
    </i>
    <i>
      <x v="10"/>
    </i>
    <i>
      <x v="11"/>
    </i>
    <i>
      <x v="12"/>
    </i>
    <i>
      <x v="13"/>
    </i>
    <i>
      <x v="14"/>
    </i>
    <i>
      <x v="15"/>
    </i>
    <i>
      <x v="16"/>
    </i>
    <i>
      <x v="17"/>
    </i>
  </rowItems>
  <colFields count="1">
    <field x="1"/>
  </colFields>
  <colItems count="4">
    <i>
      <x/>
    </i>
    <i>
      <x v="1"/>
    </i>
    <i>
      <x v="2"/>
    </i>
    <i>
      <x v="3"/>
    </i>
  </colItems>
  <dataFields count="1">
    <dataField name="Follower-Growth" fld="7"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0"/>
          </reference>
        </references>
      </pivotArea>
    </chartFormat>
  </chartFormats>
  <pivotTableStyleInfo name="PivotStyleMedium9" showRowHeaders="1" showColHeaders="1" showRowStripes="0" showColStripes="0" showLastColumn="1"/>
  <filters count="1">
    <filter fld="0" type="dateBetween" evalOrder="-1" id="356" name="Week_Start_Date">
      <autoFilter ref="A1">
        <filterColumn colId="0">
          <customFilters and="1">
            <customFilter operator="greaterThanOrEqual" val="45474"/>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B15F1EE-00FF-40ED-9E78-8A251284175A}" name="PivotTable3" cacheId="1" applyNumberFormats="0" applyBorderFormats="0" applyFontFormats="0" applyPatternFormats="0" applyAlignmentFormats="0" applyWidthHeightFormats="1" dataCaption="Values" updatedVersion="8" minRefreshableVersion="3" rowGrandTotals="0" itemPrintTitles="1" createdVersion="8" indent="0" showHeaders="0" outline="1" outlineData="1" multipleFieldFilters="0" chartFormat="2">
  <location ref="A60:B65" firstHeaderRow="1" firstDataRow="1" firstDataCol="1"/>
  <pivotFields count="12">
    <pivotField axis="axisRow" numFmtId="14" showAll="0" measureFilter="1" sortType="descending">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numFmtId="10"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0"/>
  </rowFields>
  <rowItems count="5">
    <i>
      <x v="30"/>
    </i>
    <i>
      <x v="36"/>
    </i>
    <i>
      <x v="28"/>
    </i>
    <i>
      <x v="38"/>
    </i>
    <i>
      <x v="26"/>
    </i>
  </rowItems>
  <colItems count="1">
    <i/>
  </colItems>
  <dataFields count="1">
    <dataField name="Total Followers Gained" fld="7" baseField="9" baseItem="0"/>
  </dataFields>
  <formats count="4">
    <format dxfId="42">
      <pivotArea collapsedLevelsAreSubtotals="1" fieldPosition="0">
        <references count="1">
          <reference field="0" count="1">
            <x v="30"/>
          </reference>
        </references>
      </pivotArea>
    </format>
    <format dxfId="41">
      <pivotArea dataOnly="0" labelOnly="1" fieldPosition="0">
        <references count="1">
          <reference field="0" count="1">
            <x v="30"/>
          </reference>
        </references>
      </pivotArea>
    </format>
    <format dxfId="40">
      <pivotArea dataOnly="0" labelOnly="1" fieldPosition="0">
        <references count="1">
          <reference field="0" count="1">
            <x v="30"/>
          </reference>
        </references>
      </pivotArea>
    </format>
    <format dxfId="39">
      <pivotArea collapsedLevelsAreSubtotals="1" fieldPosition="0">
        <references count="1">
          <reference field="0" count="1">
            <x v="30"/>
          </reference>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AB499F0C-360C-478A-A842-0D6DD0777F61}" autoFormatId="16" applyNumberFormats="0" applyBorderFormats="0" applyFontFormats="0" applyPatternFormats="0" applyAlignmentFormats="0" applyWidthHeightFormats="0">
  <queryTableRefresh nextId="15" unboundColumnsRight="1">
    <queryTableFields count="14">
      <queryTableField id="1" name="Post ID" tableColumnId="1"/>
      <queryTableField id="2" name="Platform" tableColumnId="2"/>
      <queryTableField id="3" name="Date" tableColumnId="3"/>
      <queryTableField id="4" name="Content Type" tableColumnId="4"/>
      <queryTableField id="5" name="Likes" tableColumnId="5"/>
      <queryTableField id="6" name="Shares" tableColumnId="6"/>
      <queryTableField id="7" name="Comments" tableColumnId="7"/>
      <queryTableField id="8" name="Impressions" tableColumnId="8"/>
      <queryTableField id="9" name="Reach" tableColumnId="9"/>
      <queryTableField id="10" name="Clicks" tableColumnId="10"/>
      <queryTableField id="11" name="Hashtags Used" tableColumnId="11"/>
      <queryTableField id="12" name="Campaign_Name" tableColumnId="12"/>
      <queryTableField id="13" name="Engagement Rate" tableColumnId="13"/>
      <queryTableField id="14" dataBound="0"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92CDE58D-06EB-435A-9D8D-B783CEF5BB6D}" autoFormatId="16" applyNumberFormats="0" applyBorderFormats="0" applyFontFormats="0" applyPatternFormats="0" applyAlignmentFormats="0" applyWidthHeightFormats="0">
  <queryTableRefresh nextId="11" unboundColumnsRight="2">
    <queryTableFields count="9">
      <queryTableField id="1" name="Week_Start_Date" tableColumnId="1"/>
      <queryTableField id="2" name="Platform" tableColumnId="2"/>
      <queryTableField id="3" name="New_Followers" tableColumnId="3"/>
      <queryTableField id="4" name="Unfollows" tableColumnId="4"/>
      <queryTableField id="5" name="Total_Followers" tableColumnId="5"/>
      <queryTableField id="6" name="Engagement_Rate" tableColumnId="6"/>
      <queryTableField id="7" name="Ad_Spend" tableColumnId="7"/>
      <queryTableField id="8" dataBound="0" tableColumnId="8"/>
      <queryTableField id="9"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DA4A995D-2CC2-4A2F-83FE-BB20EEB3CF01}" sourceName="Platform">
  <pivotTables>
    <pivotTable tabId="16" name="PivotTable10"/>
  </pivotTables>
  <data>
    <tabular pivotCacheId="2046946250">
      <items count="4">
        <i x="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 xr10:uid="{5A309873-2839-4F61-AA90-65C5D353491B}" sourceName="Content Type">
  <pivotTables>
    <pivotTable tabId="8" name="PivotTable4"/>
  </pivotTables>
  <data>
    <tabular pivotCacheId="2046946250">
      <items count="6">
        <i x="3"/>
        <i x="4"/>
        <i x="0"/>
        <i x="2"/>
        <i x="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ent Type" xr10:uid="{122FEEB8-D439-4CD4-B951-CC4155991031}" cache="Slicer_Content_Type" caption="Content Type" startItem="3"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A99100EA-9096-434E-9D93-D92935119E6B}" cache="Slicer_Platform" caption="Platform"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3C0E2B3-165A-4ADB-B51C-FAF05CCAF2BA}" name="Posts_1" displayName="Posts_1" ref="A1:N302" tableType="queryTable" totalsRowCount="1">
  <autoFilter ref="A1:N301" xr:uid="{83C0E2B3-165A-4ADB-B51C-FAF05CCAF2BA}"/>
  <tableColumns count="14">
    <tableColumn id="1" xr3:uid="{6EE2EA11-0D07-4346-B0CD-821C83D9C69C}" uniqueName="1" name="Post ID" queryTableFieldId="1" dataDxfId="38"/>
    <tableColumn id="2" xr3:uid="{C1C403A1-9A59-4599-9501-57E232CE0132}" uniqueName="2" name="Platform" queryTableFieldId="2" dataDxfId="37"/>
    <tableColumn id="3" xr3:uid="{787FFF97-FC5B-462C-9057-8A464E3478C9}" uniqueName="3" name="Date" queryTableFieldId="3" dataDxfId="36" totalsRowDxfId="35"/>
    <tableColumn id="4" xr3:uid="{1435C60A-0E63-4800-8559-2B286B737C66}" uniqueName="4" name="Content Type" queryTableFieldId="4" dataDxfId="34"/>
    <tableColumn id="5" xr3:uid="{B27E5B73-151D-4CCD-8562-E97A5CEDCBA3}" uniqueName="5" name="Likes" queryTableFieldId="5"/>
    <tableColumn id="6" xr3:uid="{CF678E72-A2F7-478F-9F0E-D3C5013A3663}" uniqueName="6" name="Shares" queryTableFieldId="6"/>
    <tableColumn id="7" xr3:uid="{D140CB0D-B1EC-4E86-BDFA-232D02B24A9B}" uniqueName="7" name="Comments" queryTableFieldId="7"/>
    <tableColumn id="8" xr3:uid="{4A9FAAA2-103B-4B09-A95F-AFCBA6D16AE8}" uniqueName="8" name="Impressions" queryTableFieldId="8"/>
    <tableColumn id="9" xr3:uid="{97FC90FB-FE15-4B8E-BF9D-BE9117BE137E}" uniqueName="9" name="Reach" queryTableFieldId="9"/>
    <tableColumn id="10" xr3:uid="{75A87454-E322-49BF-9476-BBC082CC167C}" uniqueName="10" name="Clicks" queryTableFieldId="10"/>
    <tableColumn id="11" xr3:uid="{39551DC9-83E2-46BB-9A15-0A41227E16FB}" uniqueName="11" name="Hashtags Used" queryTableFieldId="11" dataDxfId="33"/>
    <tableColumn id="12" xr3:uid="{B5BDA730-7B09-47A6-835C-D79E007AB832}" uniqueName="12" name="Campaign_Name" queryTableFieldId="12" dataDxfId="32"/>
    <tableColumn id="13" xr3:uid="{4EB90515-9077-4404-AE86-1C4712F87983}" uniqueName="13" name="Engagement Rate" totalsRowFunction="average" queryTableFieldId="13" dataDxfId="31" totalsRowDxfId="30" dataCellStyle="Percent"/>
    <tableColumn id="14" xr3:uid="{94BE5E8A-1649-4DB6-B8A5-55C3C66B1227}" uniqueName="14" name="Engagements" queryTableFieldId="14" dataDxfId="29">
      <calculatedColumnFormula>Posts_1[[#This Row],[Likes]]+Posts_1[[#This Row],[Shares]]+Posts_1[[#This Row],[Comments]]</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CC9405-19B6-42BF-AF4C-8498342A2E7D}" name="Table1" displayName="Table1" ref="A1:M340" totalsRowShown="0" headerRowDxfId="28" tableBorderDxfId="27">
  <autoFilter ref="A1:M340" xr:uid="{85CC9405-19B6-42BF-AF4C-8498342A2E7D}"/>
  <tableColumns count="13">
    <tableColumn id="1" xr3:uid="{C8497079-F40C-4EAB-A868-4864E408C8EE}" name="Post ID" dataDxfId="26"/>
    <tableColumn id="2" xr3:uid="{BD63D22A-3A42-4EF4-9E07-840D792BABA1}" name="Platform" dataDxfId="25"/>
    <tableColumn id="3" xr3:uid="{91DF3C23-269D-4895-ADBF-8975F2A6CA03}" name="Date" dataDxfId="24"/>
    <tableColumn id="4" xr3:uid="{24C3BB05-002A-4500-BAC6-21D9351A5692}" name="Content Type" dataDxfId="23"/>
    <tableColumn id="5" xr3:uid="{16BBE41D-90B5-4F46-821F-1B11BB02EAA6}" name="Likes" dataDxfId="22"/>
    <tableColumn id="6" xr3:uid="{6F31A906-50F3-4128-A814-9E3DD5237B2A}" name="Shares" dataDxfId="21"/>
    <tableColumn id="7" xr3:uid="{52A05A4D-3630-4214-AB18-24B300AB61B3}" name="Comments" dataDxfId="20"/>
    <tableColumn id="8" xr3:uid="{B434B9E6-5BA5-4A22-BA7A-B26BCFA94CA5}" name="Impressions" dataDxfId="19"/>
    <tableColumn id="9" xr3:uid="{56E1772F-1219-49E7-8922-7A29EEFB6F8B}" name="Reach" dataDxfId="18"/>
    <tableColumn id="10" xr3:uid="{A3EBC26A-E0FE-4DBA-BD1B-7C38571E15F3}" name="Clicks" dataDxfId="17"/>
    <tableColumn id="11" xr3:uid="{B812C95C-8DA9-4C51-ACAF-9A2D09D8E68B}" name="Hashtags Used" dataDxfId="16"/>
    <tableColumn id="12" xr3:uid="{49EF42F4-85E0-4824-A0AD-1818FEB544D8}" name="Campaign_Name" dataDxfId="15"/>
    <tableColumn id="13" xr3:uid="{D203D10A-90AE-4F6B-B656-7AAA7032122A}" name="Engagement Rate" dataDxfId="14" dataCellStyle="Perc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E38CB3-270D-4F96-B956-AD423A719B37}" name="Engagement_Summary" displayName="Engagement_Summary" ref="A1:I202" tableType="queryTable" totalsRowCount="1">
  <autoFilter ref="A1:I201" xr:uid="{71E38CB3-270D-4F96-B956-AD423A719B37}"/>
  <tableColumns count="9">
    <tableColumn id="1" xr3:uid="{3895A84F-3C8E-4C26-ADD3-A00E6ED03883}" uniqueName="1" name="Week_Start_Date" queryTableFieldId="1" dataDxfId="13" totalsRowDxfId="12"/>
    <tableColumn id="2" xr3:uid="{5E6AACBA-79BF-4A9E-A893-359E7ABE036E}" uniqueName="2" name="Platform" queryTableFieldId="2" dataDxfId="11"/>
    <tableColumn id="3" xr3:uid="{37A76DEC-BE76-48FF-9783-5D45D316C8D9}" uniqueName="3" name="New_Followers" queryTableFieldId="3"/>
    <tableColumn id="4" xr3:uid="{9E2F2EA9-B6B0-452C-AC04-7393EF1886EA}" uniqueName="4" name="Unfollows" queryTableFieldId="4"/>
    <tableColumn id="5" xr3:uid="{F763B379-B6F0-46D9-BF51-3DB46A1B288A}" uniqueName="5" name="Total_Followers" queryTableFieldId="5"/>
    <tableColumn id="6" xr3:uid="{A7AD1143-1ACC-4CCF-97C6-39563CED4807}" uniqueName="6" name="Engagement_Rate" queryTableFieldId="6"/>
    <tableColumn id="7" xr3:uid="{5992C038-025E-4AFB-A7FA-68705F0267C7}" uniqueName="7" name="Ad_Spend" queryTableFieldId="7"/>
    <tableColumn id="8" xr3:uid="{D277AC9A-5BC1-468D-81A2-1853B53B1179}" uniqueName="8" name="Follower Growth" totalsRowFunction="average" queryTableFieldId="8" dataDxfId="10">
      <calculatedColumnFormula>Engagement_Summary[[#This Row],[New_Followers]]-Engagement_Summary[[#This Row],[Unfollows]]</calculatedColumnFormula>
    </tableColumn>
    <tableColumn id="9" xr3:uid="{14E09F5D-8BA6-45D1-80E8-01CF439D4369}" uniqueName="9" name="Growth Rate" totalsRowFunction="average" queryTableFieldId="9" dataDxfId="9" totalsRowDxfId="8" dataCellStyle="Percent">
      <calculatedColumnFormula>Engagement_Summary[[#This Row],[Follower Growth]]/(Engagement_Summary[[#This Row],[Total_Followers]]-Engagement_Summary[[#This Row],[Follower Growth]])</calculatedColumnFormula>
    </tableColumn>
  </tableColumns>
  <tableStyleInfo name="TableStyleMedium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2836F4E-493E-4F36-AD45-6BC4E4B3AE49}" name="Table6" displayName="Table6" ref="A1:M5" totalsRowShown="0" headerRowDxfId="7">
  <autoFilter ref="A1:M5" xr:uid="{82836F4E-493E-4F36-AD45-6BC4E4B3AE49}"/>
  <tableColumns count="13">
    <tableColumn id="1" xr3:uid="{759E794A-02F6-4748-8FB2-6B8E10FCDF55}" name="Campaign_Name"/>
    <tableColumn id="2" xr3:uid="{0BF2804F-F2AA-4614-A25E-04C6102E227E}" name="Start_Date"/>
    <tableColumn id="3" xr3:uid="{86F1C35E-81C8-4499-AF04-E7BC84095295}" name="End_Date"/>
    <tableColumn id="4" xr3:uid="{A514CABD-B9E6-4549-AF26-F68AF86DDD2D}" name="Objective"/>
    <tableColumn id="5" xr3:uid="{3695C90B-EA58-4279-91D3-8CC382E2AF8F}" name="Total_Budget"/>
    <tableColumn id="6" xr3:uid="{D9CF72B0-E1A9-4ADB-A33E-84AC0AA6078A}" name="Target_Platforms"/>
    <tableColumn id="7" xr3:uid="{F0F81FB9-EFA2-44E6-A3E1-430666CC5ADB}" name="Primary_Hashtags" dataDxfId="6"/>
    <tableColumn id="8" xr3:uid="{7D247530-1E85-4792-AE83-D2269EF3A2CD}" name="Engagement Rate (During)" dataDxfId="5">
      <calculatedColumnFormula>AVERAGEIFS(Posts_1[Engagement Rate],Posts_1[Date],"&gt;="&amp;Table6[[#This Row],[Start_Date]],Posts_1[Date],"&lt;="&amp;Table6[[#This Row],[End_Date]])*100</calculatedColumnFormula>
    </tableColumn>
    <tableColumn id="9" xr3:uid="{C23F9B4E-1DC6-4E93-A9E2-D7B70B5D0754}" name="Engagement Rate (Before - 30 Days)" dataDxfId="4" dataCellStyle="Percent">
      <calculatedColumnFormula>AVERAGEIFS(Posts_1[Engagement Rate],Posts_1[Date],"&gt;="&amp;Table6[[#This Row],[Start_Date]]-30,Posts_1[Date],"&lt;="&amp;Table6[[#This Row],[Start_Date]]-1)*100</calculatedColumnFormula>
    </tableColumn>
    <tableColumn id="10" xr3:uid="{DF813EE8-280F-423E-A0CF-D17E897F8E9E}" name="Engagement Uplift" dataDxfId="3">
      <calculatedColumnFormula>(Table6[[#This Row],[Engagement Rate (During)]]-Table6[[#This Row],[Engagement Rate (Before - 30 Days)]])/Table6[[#This Row],[Engagement Rate (Before - 30 Days)]]</calculatedColumnFormula>
    </tableColumn>
    <tableColumn id="11" xr3:uid="{1927C921-8D3B-45A3-83D9-15C4A1B14F37}" name="Engagements" dataDxfId="2">
      <calculatedColumnFormula>SUMIFS(Posts_1[Engagements],Posts_1[Date],"&gt;="&amp;Table6[[#This Row],[Start_Date]],Posts_1[Date],"&lt;="&amp;Table6[[#This Row],[End_Date]])</calculatedColumnFormula>
    </tableColumn>
    <tableColumn id="12" xr3:uid="{ADB0DF2D-AFA4-4AC1-9CBD-2346FB3896AE}" name="Cost Per Engagement (CPE)" dataDxfId="1">
      <calculatedColumnFormula>Table6[[#This Row],[Total_Budget]]/Table6[[#This Row],[Engagements]]</calculatedColumnFormula>
    </tableColumn>
    <tableColumn id="13" xr3:uid="{A359B0CA-01A7-4F4B-9680-C8ECBF03109B}" name="Follower Growth" dataDxfId="0">
      <calculatedColumnFormula>SUMIFS(Engagement_Summary[Follower Growth],Engagement_Summary[Week_Start_Date],"&gt;="&amp;Table6[[#This Row],[Start_Date]],Engagement_Summary[Week_Start_Date],"&lt;="&amp;Table6[[#This Row],[End_Date]]-7)</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Week_Start_Date" xr10:uid="{CA6C81E9-7E35-4B16-936A-591B673BEBBC}" sourceName="Week_Start_Date">
  <pivotTables>
    <pivotTable tabId="20" name="PivotTable2"/>
  </pivotTables>
  <state minimalRefreshVersion="6" lastRefreshVersion="6" pivotCacheId="1764355843" filterType="dateBetween">
    <selection startDate="2024-07-01T00:00:00" endDate="2024-09-30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Week_Start_Date" xr10:uid="{1A26AA2C-DAA2-43DF-A9CF-26B5D69C3732}" cache="NativeTimeline_Week_Start_Date" caption="Week_Start_Date" showHeader="0" level="2" selectionLevel="1" scrollPosition="2024-01-01T00:00:00" style="TimeSlicerStyleDark1"/>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8.xml"/><Relationship Id="rId1" Type="http://schemas.openxmlformats.org/officeDocument/2006/relationships/pivotTable" Target="../pivotTables/pivotTable17.xml"/><Relationship Id="rId4" Type="http://schemas.microsoft.com/office/2011/relationships/timeline" Target="../timelines/timelin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drive/folders/1Im3FJ7uTH5Kz7kdi5_9ckm4TVJjXema3?usp=sharing"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7E55D-F64B-4B7B-A523-39CBADE9A224}">
  <dimension ref="A2:B30"/>
  <sheetViews>
    <sheetView zoomScale="90" zoomScaleNormal="90" workbookViewId="0">
      <selection activeCell="B14" sqref="B14"/>
    </sheetView>
  </sheetViews>
  <sheetFormatPr defaultColWidth="10.26953125" defaultRowHeight="14.5" x14ac:dyDescent="0.35"/>
  <cols>
    <col min="1" max="1" width="9.26953125" bestFit="1" customWidth="1"/>
    <col min="2" max="2" width="19.36328125" bestFit="1" customWidth="1"/>
    <col min="3" max="3" width="18.6328125" bestFit="1" customWidth="1"/>
  </cols>
  <sheetData>
    <row r="2" spans="1:2" x14ac:dyDescent="0.35">
      <c r="B2" t="s">
        <v>401</v>
      </c>
    </row>
    <row r="3" spans="1:2" x14ac:dyDescent="0.35">
      <c r="A3" s="55" t="s">
        <v>30</v>
      </c>
      <c r="B3" s="56">
        <v>0.19329257693923488</v>
      </c>
    </row>
    <row r="4" spans="1:2" x14ac:dyDescent="0.35">
      <c r="A4" s="3" t="s">
        <v>32</v>
      </c>
      <c r="B4" s="4">
        <v>0.14368407434207892</v>
      </c>
    </row>
    <row r="5" spans="1:2" x14ac:dyDescent="0.35">
      <c r="A5" s="3" t="s">
        <v>33</v>
      </c>
      <c r="B5" s="4">
        <v>0.13118493770753806</v>
      </c>
    </row>
    <row r="6" spans="1:2" x14ac:dyDescent="0.35">
      <c r="A6" s="3" t="s">
        <v>31</v>
      </c>
      <c r="B6" s="4">
        <v>0.12197289956132547</v>
      </c>
    </row>
    <row r="20" spans="1:2" x14ac:dyDescent="0.35">
      <c r="B20" t="s">
        <v>362</v>
      </c>
    </row>
    <row r="21" spans="1:2" x14ac:dyDescent="0.35">
      <c r="A21" s="59" t="s">
        <v>201</v>
      </c>
      <c r="B21" s="60">
        <v>6278</v>
      </c>
    </row>
    <row r="22" spans="1:2" x14ac:dyDescent="0.35">
      <c r="A22" s="3" t="s">
        <v>93</v>
      </c>
      <c r="B22" s="7">
        <v>6130</v>
      </c>
    </row>
    <row r="23" spans="1:2" x14ac:dyDescent="0.35">
      <c r="A23" s="3" t="s">
        <v>273</v>
      </c>
      <c r="B23" s="7">
        <v>6061</v>
      </c>
    </row>
    <row r="24" spans="1:2" x14ac:dyDescent="0.35">
      <c r="A24" s="3" t="s">
        <v>136</v>
      </c>
      <c r="B24" s="7">
        <v>6030</v>
      </c>
    </row>
    <row r="25" spans="1:2" x14ac:dyDescent="0.35">
      <c r="A25" s="3" t="s">
        <v>325</v>
      </c>
      <c r="B25" s="7">
        <v>6029</v>
      </c>
    </row>
    <row r="26" spans="1:2" x14ac:dyDescent="0.35">
      <c r="A26" s="3" t="s">
        <v>117</v>
      </c>
      <c r="B26" s="7">
        <v>5973</v>
      </c>
    </row>
    <row r="27" spans="1:2" x14ac:dyDescent="0.35">
      <c r="A27" s="3" t="s">
        <v>232</v>
      </c>
      <c r="B27" s="7">
        <v>5939</v>
      </c>
    </row>
    <row r="28" spans="1:2" x14ac:dyDescent="0.35">
      <c r="A28" s="3" t="s">
        <v>270</v>
      </c>
      <c r="B28" s="7">
        <v>5913</v>
      </c>
    </row>
    <row r="29" spans="1:2" x14ac:dyDescent="0.35">
      <c r="A29" s="3" t="s">
        <v>121</v>
      </c>
      <c r="B29" s="7">
        <v>5900</v>
      </c>
    </row>
    <row r="30" spans="1:2" x14ac:dyDescent="0.35">
      <c r="A30" s="3" t="s">
        <v>344</v>
      </c>
      <c r="B30" s="7">
        <v>5879</v>
      </c>
    </row>
  </sheetData>
  <conditionalFormatting sqref="A21:A30">
    <cfRule type="colorScale" priority="1">
      <colorScale>
        <cfvo type="min"/>
        <cfvo type="percentile" val="50"/>
        <cfvo type="max"/>
        <color rgb="FF63BE7B"/>
        <color rgb="FFFFEB84"/>
        <color rgb="FFF8696B"/>
      </colorScale>
    </cfRule>
    <cfRule type="colorScale" priority="2">
      <colorScale>
        <cfvo type="min"/>
        <cfvo type="percentile" val="50"/>
        <cfvo type="max"/>
        <color rgb="FF63BE7B"/>
        <color rgb="FFFFEB84"/>
        <color rgb="FFF8696B"/>
      </colorScale>
    </cfRule>
  </conditionalFormatting>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5008-12E1-4965-84CC-F9E1F5B272D6}">
  <dimension ref="A3:D46"/>
  <sheetViews>
    <sheetView topLeftCell="A33" zoomScale="90" zoomScaleNormal="90" workbookViewId="0">
      <selection activeCell="C50" sqref="C50"/>
    </sheetView>
  </sheetViews>
  <sheetFormatPr defaultRowHeight="14.5" x14ac:dyDescent="0.35"/>
  <cols>
    <col min="1" max="1" width="20.6328125" bestFit="1" customWidth="1"/>
    <col min="2" max="2" width="20.08984375" bestFit="1" customWidth="1"/>
    <col min="3" max="3" width="11.08984375" bestFit="1" customWidth="1"/>
    <col min="4" max="4" width="14.7265625" bestFit="1" customWidth="1"/>
  </cols>
  <sheetData>
    <row r="3" spans="1:4" x14ac:dyDescent="0.35">
      <c r="B3" t="s">
        <v>402</v>
      </c>
      <c r="C3" t="s">
        <v>403</v>
      </c>
      <c r="D3" t="s">
        <v>404</v>
      </c>
    </row>
    <row r="4" spans="1:4" x14ac:dyDescent="0.35">
      <c r="A4" s="3" t="s">
        <v>31</v>
      </c>
      <c r="B4">
        <v>28947</v>
      </c>
      <c r="C4">
        <v>3171</v>
      </c>
      <c r="D4">
        <v>2263</v>
      </c>
    </row>
    <row r="5" spans="1:4" x14ac:dyDescent="0.35">
      <c r="A5" s="3" t="s">
        <v>30</v>
      </c>
      <c r="B5">
        <v>25770</v>
      </c>
      <c r="C5">
        <v>5912</v>
      </c>
      <c r="D5">
        <v>2128</v>
      </c>
    </row>
    <row r="6" spans="1:4" x14ac:dyDescent="0.35">
      <c r="A6" s="3" t="s">
        <v>32</v>
      </c>
      <c r="B6">
        <v>29593</v>
      </c>
      <c r="C6">
        <v>6326</v>
      </c>
      <c r="D6">
        <v>3299</v>
      </c>
    </row>
    <row r="7" spans="1:4" x14ac:dyDescent="0.35">
      <c r="A7" s="3" t="s">
        <v>33</v>
      </c>
      <c r="B7">
        <v>31285</v>
      </c>
      <c r="C7">
        <v>5586</v>
      </c>
      <c r="D7">
        <v>2589</v>
      </c>
    </row>
    <row r="20" spans="1:2" x14ac:dyDescent="0.35">
      <c r="B20" t="s">
        <v>385</v>
      </c>
    </row>
    <row r="21" spans="1:2" x14ac:dyDescent="0.35">
      <c r="A21" s="36" t="s">
        <v>155</v>
      </c>
      <c r="B21" s="35">
        <v>161.19999999999999</v>
      </c>
    </row>
    <row r="22" spans="1:2" x14ac:dyDescent="0.35">
      <c r="A22" s="3" t="s">
        <v>157</v>
      </c>
      <c r="B22" s="7">
        <v>158.65420560747663</v>
      </c>
    </row>
    <row r="23" spans="1:2" x14ac:dyDescent="0.35">
      <c r="A23" s="3" t="s">
        <v>46</v>
      </c>
      <c r="B23" s="7">
        <v>151.52941176470588</v>
      </c>
    </row>
    <row r="24" spans="1:2" x14ac:dyDescent="0.35">
      <c r="A24" s="3" t="s">
        <v>154</v>
      </c>
      <c r="B24" s="7">
        <v>144.03883495145632</v>
      </c>
    </row>
    <row r="25" spans="1:2" x14ac:dyDescent="0.35">
      <c r="A25" s="3" t="s">
        <v>158</v>
      </c>
      <c r="B25" s="7">
        <v>114.85714285714286</v>
      </c>
    </row>
    <row r="26" spans="1:2" x14ac:dyDescent="0.35">
      <c r="A26" s="3" t="s">
        <v>18</v>
      </c>
      <c r="B26" s="7">
        <v>111.8</v>
      </c>
    </row>
    <row r="40" spans="1:2" x14ac:dyDescent="0.35">
      <c r="B40" t="s">
        <v>401</v>
      </c>
    </row>
    <row r="41" spans="1:2" x14ac:dyDescent="0.35">
      <c r="A41" s="3" t="s">
        <v>46</v>
      </c>
      <c r="B41" s="4">
        <v>0.15386132749296613</v>
      </c>
    </row>
    <row r="42" spans="1:2" x14ac:dyDescent="0.35">
      <c r="A42" s="3" t="s">
        <v>157</v>
      </c>
      <c r="B42" s="4">
        <v>0.14515321153500599</v>
      </c>
    </row>
    <row r="43" spans="1:2" x14ac:dyDescent="0.35">
      <c r="A43" s="3" t="s">
        <v>154</v>
      </c>
      <c r="B43" s="4">
        <v>0.14123247081320281</v>
      </c>
    </row>
    <row r="44" spans="1:2" x14ac:dyDescent="0.35">
      <c r="A44" s="3" t="s">
        <v>158</v>
      </c>
      <c r="B44" s="4">
        <v>0.12589594685729985</v>
      </c>
    </row>
    <row r="45" spans="1:2" x14ac:dyDescent="0.35">
      <c r="A45" s="3" t="s">
        <v>155</v>
      </c>
      <c r="B45" s="4">
        <v>0.11636073778371317</v>
      </c>
    </row>
    <row r="46" spans="1:2" x14ac:dyDescent="0.35">
      <c r="A46" s="3" t="s">
        <v>18</v>
      </c>
      <c r="B46" s="4">
        <v>0.11481753670769271</v>
      </c>
    </row>
  </sheetData>
  <conditionalFormatting pivot="1" sqref="B21:B26">
    <cfRule type="colorScale" priority="2">
      <colorScale>
        <cfvo type="min"/>
        <cfvo type="max"/>
        <color rgb="FFFF7128"/>
        <color rgb="FFFFEF9C"/>
      </colorScale>
    </cfRule>
  </conditionalFormatting>
  <conditionalFormatting pivot="1" sqref="B41:B46">
    <cfRule type="colorScale" priority="1">
      <colorScale>
        <cfvo type="min"/>
        <cfvo type="max"/>
        <color rgb="FFFF7128"/>
        <color rgb="FFFFEF9C"/>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B337B-CBA3-4B73-9823-88F68F721755}">
  <dimension ref="A3:C25"/>
  <sheetViews>
    <sheetView topLeftCell="A17" zoomScale="90" zoomScaleNormal="90" workbookViewId="0">
      <selection activeCell="M30" sqref="M30"/>
    </sheetView>
  </sheetViews>
  <sheetFormatPr defaultRowHeight="14.5" x14ac:dyDescent="0.35"/>
  <cols>
    <col min="1" max="1" width="9.90625" bestFit="1" customWidth="1"/>
    <col min="2" max="2" width="18.81640625" bestFit="1" customWidth="1"/>
    <col min="3" max="3" width="15" bestFit="1" customWidth="1"/>
    <col min="4" max="4" width="15" customWidth="1"/>
  </cols>
  <sheetData>
    <row r="3" spans="1:3" x14ac:dyDescent="0.35">
      <c r="B3" t="s">
        <v>359</v>
      </c>
      <c r="C3" t="s">
        <v>360</v>
      </c>
    </row>
    <row r="4" spans="1:3" x14ac:dyDescent="0.35">
      <c r="A4" s="3" t="s">
        <v>30</v>
      </c>
      <c r="B4" s="6">
        <v>5.7156000000000002</v>
      </c>
      <c r="C4">
        <v>9.41</v>
      </c>
    </row>
    <row r="5" spans="1:3" x14ac:dyDescent="0.35">
      <c r="A5" s="3" t="s">
        <v>32</v>
      </c>
      <c r="B5" s="6">
        <v>5.6558000000000002</v>
      </c>
      <c r="C5">
        <v>9.43</v>
      </c>
    </row>
    <row r="6" spans="1:3" x14ac:dyDescent="0.35">
      <c r="A6" s="3" t="s">
        <v>31</v>
      </c>
      <c r="B6" s="6">
        <v>5.6486000000000001</v>
      </c>
      <c r="C6">
        <v>9.4600000000000009</v>
      </c>
    </row>
    <row r="7" spans="1:3" x14ac:dyDescent="0.35">
      <c r="A7" s="3" t="s">
        <v>33</v>
      </c>
      <c r="B7" s="6">
        <v>5.5587999999999997</v>
      </c>
      <c r="C7">
        <v>9.48</v>
      </c>
    </row>
    <row r="18" spans="1:3" ht="29" x14ac:dyDescent="0.35">
      <c r="A18" s="37" t="s">
        <v>382</v>
      </c>
    </row>
    <row r="20" spans="1:3" x14ac:dyDescent="0.35">
      <c r="B20" t="s">
        <v>381</v>
      </c>
      <c r="C20" t="s">
        <v>380</v>
      </c>
    </row>
    <row r="21" spans="1:3" x14ac:dyDescent="0.35">
      <c r="A21" s="3" t="s">
        <v>30</v>
      </c>
      <c r="B21" s="7">
        <v>960.08</v>
      </c>
      <c r="C21" s="4">
        <v>5.8423705678845419E-3</v>
      </c>
    </row>
    <row r="22" spans="1:3" x14ac:dyDescent="0.35">
      <c r="A22" s="3" t="s">
        <v>32</v>
      </c>
      <c r="B22" s="7">
        <v>823.54</v>
      </c>
      <c r="C22" s="4">
        <v>9.8462444971903259E-3</v>
      </c>
    </row>
    <row r="23" spans="1:3" x14ac:dyDescent="0.35">
      <c r="A23" s="3" t="s">
        <v>31</v>
      </c>
      <c r="B23" s="7">
        <v>711.14</v>
      </c>
      <c r="C23" s="4">
        <v>5.6172953917649152E-3</v>
      </c>
    </row>
    <row r="24" spans="1:3" x14ac:dyDescent="0.35">
      <c r="A24" s="3" t="s">
        <v>33</v>
      </c>
      <c r="B24" s="7">
        <v>707.34</v>
      </c>
      <c r="C24" s="4">
        <v>9.4326224481468494E-3</v>
      </c>
    </row>
    <row r="25" spans="1:3" x14ac:dyDescent="0.35">
      <c r="C25" s="4"/>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32D46-542F-4B92-AD23-2298A7E64FF6}">
  <dimension ref="A3:C12"/>
  <sheetViews>
    <sheetView zoomScale="90" zoomScaleNormal="90" workbookViewId="0">
      <selection activeCell="B13" sqref="B13"/>
    </sheetView>
  </sheetViews>
  <sheetFormatPr defaultRowHeight="14.5" x14ac:dyDescent="0.35"/>
  <cols>
    <col min="1" max="1" width="31.6328125" customWidth="1"/>
    <col min="2" max="2" width="11.81640625" bestFit="1" customWidth="1"/>
    <col min="3" max="3" width="9.26953125" bestFit="1" customWidth="1"/>
  </cols>
  <sheetData>
    <row r="3" spans="1:3" x14ac:dyDescent="0.35">
      <c r="B3" t="s">
        <v>362</v>
      </c>
      <c r="C3" t="s">
        <v>363</v>
      </c>
    </row>
    <row r="4" spans="1:3" x14ac:dyDescent="0.35">
      <c r="A4" s="3" t="s">
        <v>31</v>
      </c>
      <c r="B4" s="6">
        <v>5.6486000000000001</v>
      </c>
      <c r="C4" s="7">
        <v>27590.78</v>
      </c>
    </row>
    <row r="5" spans="1:3" x14ac:dyDescent="0.35">
      <c r="A5" s="3" t="s">
        <v>30</v>
      </c>
      <c r="B5" s="6">
        <v>5.7156000000000002</v>
      </c>
      <c r="C5" s="7">
        <v>23287.46</v>
      </c>
    </row>
    <row r="6" spans="1:3" x14ac:dyDescent="0.35">
      <c r="A6" s="3" t="s">
        <v>32</v>
      </c>
      <c r="B6" s="6">
        <v>5.6558000000000002</v>
      </c>
      <c r="C6" s="7">
        <v>21207.14</v>
      </c>
    </row>
    <row r="7" spans="1:3" x14ac:dyDescent="0.35">
      <c r="A7" s="3" t="s">
        <v>33</v>
      </c>
      <c r="B7" s="6">
        <v>5.5587999999999997</v>
      </c>
      <c r="C7" s="7">
        <v>24572.94</v>
      </c>
    </row>
    <row r="12" spans="1:3" ht="87" x14ac:dyDescent="0.35">
      <c r="A12" s="38" t="s">
        <v>417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8B8A1-C253-46F3-9626-4DB1B3A510A7}">
  <dimension ref="A3:B128"/>
  <sheetViews>
    <sheetView zoomScale="90" zoomScaleNormal="90" workbookViewId="0">
      <selection activeCell="B26" sqref="B26"/>
    </sheetView>
  </sheetViews>
  <sheetFormatPr defaultRowHeight="14.5" x14ac:dyDescent="0.35"/>
  <cols>
    <col min="1" max="1" width="20.6328125" bestFit="1" customWidth="1"/>
    <col min="2" max="2" width="25.54296875" bestFit="1" customWidth="1"/>
    <col min="3" max="3" width="15.54296875" bestFit="1" customWidth="1"/>
    <col min="4" max="4" width="13.08984375" bestFit="1" customWidth="1"/>
    <col min="5" max="5" width="15.26953125" bestFit="1" customWidth="1"/>
    <col min="6" max="6" width="20.36328125" bestFit="1" customWidth="1"/>
    <col min="7" max="7" width="17.54296875" bestFit="1" customWidth="1"/>
    <col min="8" max="8" width="10.7265625" bestFit="1" customWidth="1"/>
  </cols>
  <sheetData>
    <row r="3" spans="1:2" x14ac:dyDescent="0.35">
      <c r="B3" t="s">
        <v>378</v>
      </c>
    </row>
    <row r="4" spans="1:2" x14ac:dyDescent="0.35">
      <c r="A4" s="3" t="s">
        <v>157</v>
      </c>
      <c r="B4">
        <v>107</v>
      </c>
    </row>
    <row r="5" spans="1:2" x14ac:dyDescent="0.35">
      <c r="A5" s="3" t="s">
        <v>154</v>
      </c>
      <c r="B5">
        <v>103</v>
      </c>
    </row>
    <row r="6" spans="1:2" x14ac:dyDescent="0.35">
      <c r="A6" s="3" t="s">
        <v>46</v>
      </c>
      <c r="B6">
        <v>102</v>
      </c>
    </row>
    <row r="7" spans="1:2" x14ac:dyDescent="0.35">
      <c r="A7" s="3" t="s">
        <v>155</v>
      </c>
      <c r="B7">
        <v>15</v>
      </c>
    </row>
    <row r="8" spans="1:2" x14ac:dyDescent="0.35">
      <c r="A8" s="3" t="s">
        <v>158</v>
      </c>
      <c r="B8">
        <v>7</v>
      </c>
    </row>
    <row r="9" spans="1:2" x14ac:dyDescent="0.35">
      <c r="A9" s="3" t="s">
        <v>18</v>
      </c>
      <c r="B9">
        <v>5</v>
      </c>
    </row>
    <row r="23" spans="1:2" x14ac:dyDescent="0.35">
      <c r="A23" s="2" t="s">
        <v>43</v>
      </c>
      <c r="B23" t="s">
        <v>154</v>
      </c>
    </row>
    <row r="25" spans="1:2" x14ac:dyDescent="0.35">
      <c r="B25" t="s">
        <v>358</v>
      </c>
    </row>
    <row r="26" spans="1:2" x14ac:dyDescent="0.35">
      <c r="A26" s="3" t="s">
        <v>153</v>
      </c>
      <c r="B26" s="4">
        <v>9.0759753593429152E-2</v>
      </c>
    </row>
    <row r="27" spans="1:2" x14ac:dyDescent="0.35">
      <c r="A27" s="3" t="s">
        <v>164</v>
      </c>
      <c r="B27" s="4">
        <v>0.1157126913265306</v>
      </c>
    </row>
    <row r="28" spans="1:2" x14ac:dyDescent="0.35">
      <c r="A28" s="3" t="s">
        <v>165</v>
      </c>
      <c r="B28" s="4">
        <v>0.12885405960945528</v>
      </c>
    </row>
    <row r="29" spans="1:2" x14ac:dyDescent="0.35">
      <c r="A29" s="3" t="s">
        <v>166</v>
      </c>
      <c r="B29" s="4">
        <v>0.14521452145214522</v>
      </c>
    </row>
    <row r="30" spans="1:2" x14ac:dyDescent="0.35">
      <c r="A30" s="3" t="s">
        <v>167</v>
      </c>
      <c r="B30" s="4">
        <v>5.941358024691358E-2</v>
      </c>
    </row>
    <row r="31" spans="1:2" x14ac:dyDescent="0.35">
      <c r="A31" s="3" t="s">
        <v>168</v>
      </c>
      <c r="B31" s="4">
        <v>7.5843713789107758E-2</v>
      </c>
    </row>
    <row r="32" spans="1:2" x14ac:dyDescent="0.35">
      <c r="A32" s="3" t="s">
        <v>169</v>
      </c>
      <c r="B32" s="4">
        <v>0.10297222222222224</v>
      </c>
    </row>
    <row r="33" spans="1:2" x14ac:dyDescent="0.35">
      <c r="A33" s="3" t="s">
        <v>172</v>
      </c>
      <c r="B33" s="4">
        <v>7.7249552156538517E-2</v>
      </c>
    </row>
    <row r="34" spans="1:2" x14ac:dyDescent="0.35">
      <c r="A34" s="3" t="s">
        <v>175</v>
      </c>
      <c r="B34" s="4">
        <v>7.2070332803659209E-2</v>
      </c>
    </row>
    <row r="35" spans="1:2" x14ac:dyDescent="0.35">
      <c r="A35" s="3" t="s">
        <v>176</v>
      </c>
      <c r="B35" s="4">
        <v>8.9730807577268201E-2</v>
      </c>
    </row>
    <row r="36" spans="1:2" x14ac:dyDescent="0.35">
      <c r="A36" s="3" t="s">
        <v>177</v>
      </c>
      <c r="B36" s="4">
        <v>7.1501685934489398E-2</v>
      </c>
    </row>
    <row r="37" spans="1:2" x14ac:dyDescent="0.35">
      <c r="A37" s="3" t="s">
        <v>178</v>
      </c>
      <c r="B37" s="4">
        <v>0.17057291666666666</v>
      </c>
    </row>
    <row r="38" spans="1:2" x14ac:dyDescent="0.35">
      <c r="A38" s="3" t="s">
        <v>179</v>
      </c>
      <c r="B38" s="4">
        <v>0.21208106001558849</v>
      </c>
    </row>
    <row r="39" spans="1:2" x14ac:dyDescent="0.35">
      <c r="A39" s="3" t="s">
        <v>183</v>
      </c>
      <c r="B39" s="4">
        <v>0.11861662987490802</v>
      </c>
    </row>
    <row r="40" spans="1:2" x14ac:dyDescent="0.35">
      <c r="A40" s="3" t="s">
        <v>186</v>
      </c>
      <c r="B40" s="4">
        <v>0.18433235867446393</v>
      </c>
    </row>
    <row r="41" spans="1:2" x14ac:dyDescent="0.35">
      <c r="A41" s="3" t="s">
        <v>189</v>
      </c>
      <c r="B41" s="4">
        <v>7.5229902106199939E-2</v>
      </c>
    </row>
    <row r="42" spans="1:2" x14ac:dyDescent="0.35">
      <c r="A42" s="3" t="s">
        <v>191</v>
      </c>
      <c r="B42" s="4">
        <v>0.16683616863905326</v>
      </c>
    </row>
    <row r="43" spans="1:2" ht="15" customHeight="1" x14ac:dyDescent="0.35">
      <c r="A43" s="3" t="s">
        <v>195</v>
      </c>
      <c r="B43" s="4">
        <v>7.8689839572192513E-2</v>
      </c>
    </row>
    <row r="44" spans="1:2" x14ac:dyDescent="0.35">
      <c r="A44" s="3" t="s">
        <v>197</v>
      </c>
      <c r="B44" s="4">
        <v>0.16510298716704411</v>
      </c>
    </row>
    <row r="45" spans="1:2" x14ac:dyDescent="0.35">
      <c r="A45" s="3" t="s">
        <v>198</v>
      </c>
      <c r="B45" s="4">
        <v>0.12936184657162253</v>
      </c>
    </row>
    <row r="46" spans="1:2" x14ac:dyDescent="0.35">
      <c r="A46" s="3" t="s">
        <v>203</v>
      </c>
      <c r="B46" s="4">
        <v>5.2551586421122697E-2</v>
      </c>
    </row>
    <row r="47" spans="1:2" x14ac:dyDescent="0.35">
      <c r="A47" s="3" t="s">
        <v>204</v>
      </c>
      <c r="B47" s="4">
        <v>8.2047718322909427E-2</v>
      </c>
    </row>
    <row r="48" spans="1:2" x14ac:dyDescent="0.35">
      <c r="A48" s="3" t="s">
        <v>205</v>
      </c>
      <c r="B48" s="4">
        <v>9.3421052631578946E-2</v>
      </c>
    </row>
    <row r="49" spans="1:2" x14ac:dyDescent="0.35">
      <c r="A49" s="3" t="s">
        <v>208</v>
      </c>
      <c r="B49" s="4">
        <v>6.4265122330790625E-2</v>
      </c>
    </row>
    <row r="50" spans="1:2" x14ac:dyDescent="0.35">
      <c r="A50" s="3" t="s">
        <v>213</v>
      </c>
      <c r="B50" s="4">
        <v>8.2075471698113203E-2</v>
      </c>
    </row>
    <row r="51" spans="1:2" x14ac:dyDescent="0.35">
      <c r="A51" s="3" t="s">
        <v>214</v>
      </c>
      <c r="B51" s="4">
        <v>7.7533348349475686E-2</v>
      </c>
    </row>
    <row r="52" spans="1:2" x14ac:dyDescent="0.35">
      <c r="A52" s="3" t="s">
        <v>216</v>
      </c>
      <c r="B52" s="4">
        <v>8.558620689655172E-2</v>
      </c>
    </row>
    <row r="53" spans="1:2" x14ac:dyDescent="0.35">
      <c r="A53" s="3" t="s">
        <v>217</v>
      </c>
      <c r="B53" s="4">
        <v>8.6737756939878202E-2</v>
      </c>
    </row>
    <row r="54" spans="1:2" x14ac:dyDescent="0.35">
      <c r="A54" s="3" t="s">
        <v>218</v>
      </c>
      <c r="B54" s="4">
        <v>0.19156491900087785</v>
      </c>
    </row>
    <row r="55" spans="1:2" x14ac:dyDescent="0.35">
      <c r="A55" s="3" t="s">
        <v>219</v>
      </c>
      <c r="B55" s="4">
        <v>0.20868152274837512</v>
      </c>
    </row>
    <row r="56" spans="1:2" x14ac:dyDescent="0.35">
      <c r="A56" s="3" t="s">
        <v>222</v>
      </c>
      <c r="B56" s="4">
        <v>0.13599052880820836</v>
      </c>
    </row>
    <row r="57" spans="1:2" x14ac:dyDescent="0.35">
      <c r="A57" s="3" t="s">
        <v>223</v>
      </c>
      <c r="B57" s="4">
        <v>0.16843866371633656</v>
      </c>
    </row>
    <row r="58" spans="1:2" x14ac:dyDescent="0.35">
      <c r="A58" s="3" t="s">
        <v>224</v>
      </c>
      <c r="B58" s="4">
        <v>6.8108806480899509E-2</v>
      </c>
    </row>
    <row r="59" spans="1:2" x14ac:dyDescent="0.35">
      <c r="A59" s="3" t="s">
        <v>225</v>
      </c>
      <c r="B59" s="4">
        <v>0.10339256865912765</v>
      </c>
    </row>
    <row r="60" spans="1:2" x14ac:dyDescent="0.35">
      <c r="A60" s="3" t="s">
        <v>227</v>
      </c>
      <c r="B60" s="4">
        <v>0.1123809523809524</v>
      </c>
    </row>
    <row r="61" spans="1:2" x14ac:dyDescent="0.35">
      <c r="A61" s="3" t="s">
        <v>228</v>
      </c>
      <c r="B61" s="4">
        <v>7.2000119875329657E-2</v>
      </c>
    </row>
    <row r="62" spans="1:2" x14ac:dyDescent="0.35">
      <c r="A62" s="3" t="s">
        <v>229</v>
      </c>
      <c r="B62" s="4">
        <v>7.3707865168539333E-2</v>
      </c>
    </row>
    <row r="63" spans="1:2" x14ac:dyDescent="0.35">
      <c r="A63" s="3" t="s">
        <v>231</v>
      </c>
      <c r="B63" s="4">
        <v>0.12896028558679162</v>
      </c>
    </row>
    <row r="64" spans="1:2" x14ac:dyDescent="0.35">
      <c r="A64" s="3" t="s">
        <v>235</v>
      </c>
      <c r="B64" s="4">
        <v>0.16744313510550837</v>
      </c>
    </row>
    <row r="65" spans="1:2" x14ac:dyDescent="0.35">
      <c r="A65" s="3" t="s">
        <v>237</v>
      </c>
      <c r="B65" s="4">
        <v>0.17441662408448305</v>
      </c>
    </row>
    <row r="66" spans="1:2" x14ac:dyDescent="0.35">
      <c r="A66" s="3" t="s">
        <v>238</v>
      </c>
      <c r="B66" s="4">
        <v>0.12942500000000001</v>
      </c>
    </row>
    <row r="67" spans="1:2" x14ac:dyDescent="0.35">
      <c r="A67" s="3" t="s">
        <v>241</v>
      </c>
      <c r="B67" s="4">
        <v>8.0158206987475278E-2</v>
      </c>
    </row>
    <row r="68" spans="1:2" x14ac:dyDescent="0.35">
      <c r="A68" s="3" t="s">
        <v>242</v>
      </c>
      <c r="B68" s="4">
        <v>0.31705583756345179</v>
      </c>
    </row>
    <row r="69" spans="1:2" x14ac:dyDescent="0.35">
      <c r="A69" s="3" t="s">
        <v>243</v>
      </c>
      <c r="B69" s="4">
        <v>0.32349397590361445</v>
      </c>
    </row>
    <row r="70" spans="1:2" x14ac:dyDescent="0.35">
      <c r="A70" s="3" t="s">
        <v>245</v>
      </c>
      <c r="B70" s="4">
        <v>9.9829463465827106E-2</v>
      </c>
    </row>
    <row r="71" spans="1:2" x14ac:dyDescent="0.35">
      <c r="A71" s="3" t="s">
        <v>246</v>
      </c>
      <c r="B71" s="4">
        <v>6.9311459413307311E-2</v>
      </c>
    </row>
    <row r="72" spans="1:2" x14ac:dyDescent="0.35">
      <c r="A72" s="3" t="s">
        <v>247</v>
      </c>
      <c r="B72" s="4">
        <v>0.12537731780940059</v>
      </c>
    </row>
    <row r="73" spans="1:2" x14ac:dyDescent="0.35">
      <c r="A73" s="3" t="s">
        <v>249</v>
      </c>
      <c r="B73" s="4">
        <v>0.13106060606060607</v>
      </c>
    </row>
    <row r="74" spans="1:2" x14ac:dyDescent="0.35">
      <c r="A74" s="3" t="s">
        <v>250</v>
      </c>
      <c r="B74" s="4">
        <v>0.13493953401503478</v>
      </c>
    </row>
    <row r="75" spans="1:2" x14ac:dyDescent="0.35">
      <c r="A75" s="3" t="s">
        <v>253</v>
      </c>
      <c r="B75" s="4">
        <v>6.461481657304112E-2</v>
      </c>
    </row>
    <row r="76" spans="1:2" x14ac:dyDescent="0.35">
      <c r="A76" s="3" t="s">
        <v>254</v>
      </c>
      <c r="B76" s="4">
        <v>0.20871010638297871</v>
      </c>
    </row>
    <row r="77" spans="1:2" x14ac:dyDescent="0.35">
      <c r="A77" s="3" t="s">
        <v>255</v>
      </c>
      <c r="B77" s="4">
        <v>0.16065573770491803</v>
      </c>
    </row>
    <row r="78" spans="1:2" x14ac:dyDescent="0.35">
      <c r="A78" s="3" t="s">
        <v>256</v>
      </c>
      <c r="B78" s="4">
        <v>0.2316508937960042</v>
      </c>
    </row>
    <row r="79" spans="1:2" x14ac:dyDescent="0.35">
      <c r="A79" s="3" t="s">
        <v>257</v>
      </c>
      <c r="B79" s="4">
        <v>6.9438087973557078E-2</v>
      </c>
    </row>
    <row r="80" spans="1:2" x14ac:dyDescent="0.35">
      <c r="A80" s="3" t="s">
        <v>263</v>
      </c>
      <c r="B80" s="4">
        <v>0.31965192168237855</v>
      </c>
    </row>
    <row r="81" spans="1:2" x14ac:dyDescent="0.35">
      <c r="A81" s="3" t="s">
        <v>264</v>
      </c>
      <c r="B81" s="4">
        <v>0.11489268506351293</v>
      </c>
    </row>
    <row r="82" spans="1:2" x14ac:dyDescent="0.35">
      <c r="A82" s="3" t="s">
        <v>265</v>
      </c>
      <c r="B82" s="4">
        <v>0.1095786671562328</v>
      </c>
    </row>
    <row r="83" spans="1:2" x14ac:dyDescent="0.35">
      <c r="A83" s="3" t="s">
        <v>266</v>
      </c>
      <c r="B83" s="4">
        <v>0.10793717277486913</v>
      </c>
    </row>
    <row r="84" spans="1:2" x14ac:dyDescent="0.35">
      <c r="A84" s="3" t="s">
        <v>268</v>
      </c>
      <c r="B84" s="4">
        <v>0.21745283018867925</v>
      </c>
    </row>
    <row r="85" spans="1:2" x14ac:dyDescent="0.35">
      <c r="A85" s="3" t="s">
        <v>271</v>
      </c>
      <c r="B85" s="4">
        <v>8.6630570595585168E-2</v>
      </c>
    </row>
    <row r="86" spans="1:2" x14ac:dyDescent="0.35">
      <c r="A86" s="3" t="s">
        <v>275</v>
      </c>
      <c r="B86" s="4">
        <v>0.14320716458262928</v>
      </c>
    </row>
    <row r="87" spans="1:2" x14ac:dyDescent="0.35">
      <c r="A87" s="3" t="s">
        <v>276</v>
      </c>
      <c r="B87" s="4">
        <v>9.859917557465242E-2</v>
      </c>
    </row>
    <row r="88" spans="1:2" x14ac:dyDescent="0.35">
      <c r="A88" s="3" t="s">
        <v>278</v>
      </c>
      <c r="B88" s="4">
        <v>9.8068107400130972E-2</v>
      </c>
    </row>
    <row r="89" spans="1:2" x14ac:dyDescent="0.35">
      <c r="A89" s="3" t="s">
        <v>279</v>
      </c>
      <c r="B89" s="4">
        <v>0.14348370927318296</v>
      </c>
    </row>
    <row r="90" spans="1:2" x14ac:dyDescent="0.35">
      <c r="A90" s="3" t="s">
        <v>280</v>
      </c>
      <c r="B90" s="4">
        <v>0.6508215962441315</v>
      </c>
    </row>
    <row r="91" spans="1:2" x14ac:dyDescent="0.35">
      <c r="A91" s="3" t="s">
        <v>287</v>
      </c>
      <c r="B91" s="4">
        <v>0.28696581196581195</v>
      </c>
    </row>
    <row r="92" spans="1:2" x14ac:dyDescent="0.35">
      <c r="A92" s="3" t="s">
        <v>288</v>
      </c>
      <c r="B92" s="4">
        <v>8.4946236559139771E-2</v>
      </c>
    </row>
    <row r="93" spans="1:2" x14ac:dyDescent="0.35">
      <c r="A93" s="3" t="s">
        <v>290</v>
      </c>
      <c r="B93" s="4">
        <v>5.5909322465613857E-2</v>
      </c>
    </row>
    <row r="94" spans="1:2" x14ac:dyDescent="0.35">
      <c r="A94" s="3" t="s">
        <v>291</v>
      </c>
      <c r="B94" s="4">
        <v>9.9578134817341346E-2</v>
      </c>
    </row>
    <row r="95" spans="1:2" x14ac:dyDescent="0.35">
      <c r="A95" s="3" t="s">
        <v>292</v>
      </c>
      <c r="B95" s="4">
        <v>0.13667732704931829</v>
      </c>
    </row>
    <row r="96" spans="1:2" x14ac:dyDescent="0.35">
      <c r="A96" s="3" t="s">
        <v>296</v>
      </c>
      <c r="B96" s="4">
        <v>5.7332570758993957E-2</v>
      </c>
    </row>
    <row r="97" spans="1:2" x14ac:dyDescent="0.35">
      <c r="A97" s="3" t="s">
        <v>297</v>
      </c>
      <c r="B97" s="4">
        <v>0.29713518352730528</v>
      </c>
    </row>
    <row r="98" spans="1:2" x14ac:dyDescent="0.35">
      <c r="A98" s="3" t="s">
        <v>301</v>
      </c>
      <c r="B98" s="4">
        <v>8.2753164556962022E-2</v>
      </c>
    </row>
    <row r="99" spans="1:2" x14ac:dyDescent="0.35">
      <c r="A99" s="3" t="s">
        <v>302</v>
      </c>
      <c r="B99" s="4">
        <v>0.48518407662376534</v>
      </c>
    </row>
    <row r="100" spans="1:2" x14ac:dyDescent="0.35">
      <c r="A100" s="3" t="s">
        <v>303</v>
      </c>
      <c r="B100" s="4">
        <v>0.18632075471698112</v>
      </c>
    </row>
    <row r="101" spans="1:2" x14ac:dyDescent="0.35">
      <c r="A101" s="3" t="s">
        <v>305</v>
      </c>
      <c r="B101" s="4">
        <v>0.37955854126679461</v>
      </c>
    </row>
    <row r="102" spans="1:2" x14ac:dyDescent="0.35">
      <c r="A102" s="3" t="s">
        <v>310</v>
      </c>
      <c r="B102" s="4">
        <v>0.11143487163332808</v>
      </c>
    </row>
    <row r="103" spans="1:2" x14ac:dyDescent="0.35">
      <c r="A103" s="3" t="s">
        <v>314</v>
      </c>
      <c r="B103" s="4">
        <v>0.11232349165596919</v>
      </c>
    </row>
    <row r="104" spans="1:2" x14ac:dyDescent="0.35">
      <c r="A104" s="3" t="s">
        <v>316</v>
      </c>
      <c r="B104" s="4">
        <v>8.5734265734265722E-2</v>
      </c>
    </row>
    <row r="105" spans="1:2" x14ac:dyDescent="0.35">
      <c r="A105" s="3" t="s">
        <v>317</v>
      </c>
      <c r="B105" s="4">
        <v>7.2969143576826198E-2</v>
      </c>
    </row>
    <row r="106" spans="1:2" x14ac:dyDescent="0.35">
      <c r="A106" s="3" t="s">
        <v>124</v>
      </c>
      <c r="B106" s="4">
        <v>0.12943516308671441</v>
      </c>
    </row>
    <row r="107" spans="1:2" x14ac:dyDescent="0.35">
      <c r="A107" s="3" t="s">
        <v>320</v>
      </c>
      <c r="B107" s="4">
        <v>6.7234398994834563E-2</v>
      </c>
    </row>
    <row r="108" spans="1:2" x14ac:dyDescent="0.35">
      <c r="A108" s="3" t="s">
        <v>321</v>
      </c>
      <c r="B108" s="4">
        <v>7.2579365079365077E-2</v>
      </c>
    </row>
    <row r="109" spans="1:2" x14ac:dyDescent="0.35">
      <c r="A109" s="3" t="s">
        <v>322</v>
      </c>
      <c r="B109" s="4">
        <v>0.25062082139446035</v>
      </c>
    </row>
    <row r="110" spans="1:2" x14ac:dyDescent="0.35">
      <c r="A110" s="3" t="s">
        <v>324</v>
      </c>
      <c r="B110" s="4">
        <v>9.7001272669424113E-2</v>
      </c>
    </row>
    <row r="111" spans="1:2" x14ac:dyDescent="0.35">
      <c r="A111" s="3" t="s">
        <v>325</v>
      </c>
      <c r="B111" s="4">
        <v>0.25869984981763572</v>
      </c>
    </row>
    <row r="112" spans="1:2" x14ac:dyDescent="0.35">
      <c r="A112" s="3" t="s">
        <v>326</v>
      </c>
      <c r="B112" s="4">
        <v>0.23656250000000001</v>
      </c>
    </row>
    <row r="113" spans="1:2" x14ac:dyDescent="0.35">
      <c r="A113" s="3" t="s">
        <v>128</v>
      </c>
      <c r="B113" s="4">
        <v>0.11879910213243548</v>
      </c>
    </row>
    <row r="114" spans="1:2" x14ac:dyDescent="0.35">
      <c r="A114" s="3" t="s">
        <v>327</v>
      </c>
      <c r="B114" s="4">
        <v>7.3170731707317069E-2</v>
      </c>
    </row>
    <row r="115" spans="1:2" x14ac:dyDescent="0.35">
      <c r="A115" s="3" t="s">
        <v>328</v>
      </c>
      <c r="B115" s="4">
        <v>0.11619462599854756</v>
      </c>
    </row>
    <row r="116" spans="1:2" x14ac:dyDescent="0.35">
      <c r="A116" s="3" t="s">
        <v>329</v>
      </c>
      <c r="B116" s="4">
        <v>0.15761129727142173</v>
      </c>
    </row>
    <row r="117" spans="1:2" x14ac:dyDescent="0.35">
      <c r="A117" s="3" t="s">
        <v>330</v>
      </c>
      <c r="B117" s="4">
        <v>0.13331166419019316</v>
      </c>
    </row>
    <row r="118" spans="1:2" x14ac:dyDescent="0.35">
      <c r="A118" s="3" t="s">
        <v>331</v>
      </c>
      <c r="B118" s="4">
        <v>0.11996283514733208</v>
      </c>
    </row>
    <row r="119" spans="1:2" x14ac:dyDescent="0.35">
      <c r="A119" s="3" t="s">
        <v>334</v>
      </c>
      <c r="B119" s="4">
        <v>0.26876680752977333</v>
      </c>
    </row>
    <row r="120" spans="1:2" x14ac:dyDescent="0.35">
      <c r="A120" s="3" t="s">
        <v>337</v>
      </c>
      <c r="B120" s="4">
        <v>6.3947934081681396E-2</v>
      </c>
    </row>
    <row r="121" spans="1:2" x14ac:dyDescent="0.35">
      <c r="A121" s="3" t="s">
        <v>343</v>
      </c>
      <c r="B121" s="4">
        <v>0.24763928234183191</v>
      </c>
    </row>
    <row r="122" spans="1:2" x14ac:dyDescent="0.35">
      <c r="A122" s="3" t="s">
        <v>345</v>
      </c>
      <c r="B122" s="4">
        <v>0.1071650124069479</v>
      </c>
    </row>
    <row r="123" spans="1:2" x14ac:dyDescent="0.35">
      <c r="A123" s="3" t="s">
        <v>346</v>
      </c>
      <c r="B123" s="4">
        <v>5.8243321401216137E-2</v>
      </c>
    </row>
    <row r="124" spans="1:2" x14ac:dyDescent="0.35">
      <c r="A124" s="3" t="s">
        <v>348</v>
      </c>
      <c r="B124" s="4">
        <v>0.19484607062063539</v>
      </c>
    </row>
    <row r="125" spans="1:2" x14ac:dyDescent="0.35">
      <c r="A125" s="3" t="s">
        <v>349</v>
      </c>
      <c r="B125" s="4">
        <v>6.800325430032543E-2</v>
      </c>
    </row>
    <row r="126" spans="1:2" x14ac:dyDescent="0.35">
      <c r="A126" s="3" t="s">
        <v>350</v>
      </c>
      <c r="B126" s="4">
        <v>7.3018902217375503E-2</v>
      </c>
    </row>
    <row r="127" spans="1:2" x14ac:dyDescent="0.35">
      <c r="A127" s="3" t="s">
        <v>352</v>
      </c>
      <c r="B127" s="4">
        <v>0.16540727459016394</v>
      </c>
    </row>
    <row r="128" spans="1:2" x14ac:dyDescent="0.35">
      <c r="A128" s="3" t="s">
        <v>355</v>
      </c>
      <c r="B128" s="4">
        <v>0.13840458048129492</v>
      </c>
    </row>
  </sheetData>
  <conditionalFormatting pivot="1" sqref="B4:B9">
    <cfRule type="dataBar" priority="1">
      <dataBar>
        <cfvo type="min"/>
        <cfvo type="max"/>
        <color rgb="FFFFB628"/>
      </dataBar>
      <extLst>
        <ext xmlns:x14="http://schemas.microsoft.com/office/spreadsheetml/2009/9/main" uri="{B025F937-C7B1-47D3-B67F-A62EFF666E3E}">
          <x14:id>{8A5EB45A-C9D6-4502-AC68-F9EA8B8A41D3}</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8A5EB45A-C9D6-4502-AC68-F9EA8B8A41D3}">
            <x14:dataBar minLength="0" maxLength="100" border="1" negativeBarBorderColorSameAsPositive="0">
              <x14:cfvo type="autoMin"/>
              <x14:cfvo type="autoMax"/>
              <x14:borderColor rgb="FFFFB628"/>
              <x14:negativeFillColor rgb="FFFF0000"/>
              <x14:negativeBorderColor rgb="FFFF0000"/>
              <x14:axisColor rgb="FF000000"/>
            </x14:dataBar>
          </x14:cfRule>
          <xm:sqref>B4:B9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9CCFF-EFC3-4702-9F6D-CDD573A42F55}">
  <dimension ref="A3:C35"/>
  <sheetViews>
    <sheetView topLeftCell="A21" zoomScale="90" zoomScaleNormal="90" workbookViewId="0">
      <selection activeCell="B39" sqref="B39"/>
    </sheetView>
  </sheetViews>
  <sheetFormatPr defaultColWidth="25.6328125" defaultRowHeight="14.5" x14ac:dyDescent="0.35"/>
  <cols>
    <col min="1" max="1" width="32.81640625" customWidth="1"/>
    <col min="2" max="2" width="25.1796875" bestFit="1" customWidth="1"/>
    <col min="3" max="3" width="18.6328125" bestFit="1" customWidth="1"/>
    <col min="4" max="7" width="6.81640625" bestFit="1" customWidth="1"/>
  </cols>
  <sheetData>
    <row r="3" spans="1:3" x14ac:dyDescent="0.35">
      <c r="B3" t="s">
        <v>418</v>
      </c>
      <c r="C3" t="s">
        <v>401</v>
      </c>
    </row>
    <row r="4" spans="1:3" x14ac:dyDescent="0.35">
      <c r="A4" s="3" t="s">
        <v>54</v>
      </c>
      <c r="B4" s="7">
        <v>3463.6666666666665</v>
      </c>
      <c r="C4" s="4">
        <v>0.11750673823506556</v>
      </c>
    </row>
    <row r="5" spans="1:3" x14ac:dyDescent="0.35">
      <c r="A5" s="3" t="s">
        <v>50</v>
      </c>
      <c r="B5" s="7">
        <v>3483.0158730158732</v>
      </c>
      <c r="C5" s="4">
        <v>0.136874940548697</v>
      </c>
    </row>
    <row r="6" spans="1:3" x14ac:dyDescent="0.35">
      <c r="A6" s="3" t="s">
        <v>58</v>
      </c>
      <c r="B6" s="7">
        <v>3415.5581395348836</v>
      </c>
      <c r="C6" s="4">
        <v>0.14814844474464284</v>
      </c>
    </row>
    <row r="7" spans="1:3" x14ac:dyDescent="0.35">
      <c r="A7" s="3" t="s">
        <v>52</v>
      </c>
      <c r="B7" s="7">
        <v>3440.3050847457625</v>
      </c>
      <c r="C7" s="4">
        <v>0.14814919934149992</v>
      </c>
    </row>
    <row r="8" spans="1:3" x14ac:dyDescent="0.35">
      <c r="A8" s="3" t="s">
        <v>48</v>
      </c>
      <c r="B8" s="7">
        <v>3456.7234042553191</v>
      </c>
      <c r="C8" s="4">
        <v>0.15615682164328951</v>
      </c>
    </row>
    <row r="9" spans="1:3" x14ac:dyDescent="0.35">
      <c r="A9" s="3" t="s">
        <v>45</v>
      </c>
      <c r="B9" s="7">
        <v>3490.217391304348</v>
      </c>
      <c r="C9" s="4">
        <v>0.18425775384163354</v>
      </c>
    </row>
    <row r="25" spans="1:2" x14ac:dyDescent="0.35">
      <c r="A25" s="2" t="s">
        <v>356</v>
      </c>
      <c r="B25" t="s">
        <v>358</v>
      </c>
    </row>
    <row r="26" spans="1:2" x14ac:dyDescent="0.35">
      <c r="A26" s="3" t="s">
        <v>48</v>
      </c>
      <c r="B26" s="4">
        <v>0.26004033206333965</v>
      </c>
    </row>
    <row r="27" spans="1:2" x14ac:dyDescent="0.35">
      <c r="A27" s="3" t="s">
        <v>45</v>
      </c>
      <c r="B27" s="4">
        <v>0.24558274253543638</v>
      </c>
    </row>
    <row r="28" spans="1:2" x14ac:dyDescent="0.35">
      <c r="A28" s="3" t="s">
        <v>58</v>
      </c>
      <c r="B28" s="4">
        <v>0.20623960616405412</v>
      </c>
    </row>
    <row r="29" spans="1:2" x14ac:dyDescent="0.35">
      <c r="A29" s="3" t="s">
        <v>50</v>
      </c>
      <c r="B29" s="4">
        <v>0.14929862484025294</v>
      </c>
    </row>
    <row r="30" spans="1:2" x14ac:dyDescent="0.35">
      <c r="A30" s="3" t="s">
        <v>52</v>
      </c>
      <c r="B30" s="4">
        <v>0.14439860032256027</v>
      </c>
    </row>
    <row r="31" spans="1:2" x14ac:dyDescent="0.35">
      <c r="A31" s="3" t="s">
        <v>54</v>
      </c>
      <c r="B31" s="4">
        <v>0.12920449104190179</v>
      </c>
    </row>
    <row r="35" spans="1:1" ht="101.5" x14ac:dyDescent="0.35">
      <c r="A35" s="39" t="s">
        <v>405</v>
      </c>
    </row>
  </sheetData>
  <conditionalFormatting pivot="1" sqref="C4:C9">
    <cfRule type="colorScale" priority="2">
      <colorScale>
        <cfvo type="min"/>
        <cfvo type="max"/>
        <color rgb="FFFF7128"/>
        <color rgb="FFFFEF9C"/>
      </colorScale>
    </cfRule>
  </conditionalFormatting>
  <conditionalFormatting pivot="1" sqref="B26:B31">
    <cfRule type="dataBar" priority="1">
      <dataBar>
        <cfvo type="min"/>
        <cfvo type="max"/>
        <color rgb="FFFFB628"/>
      </dataBar>
      <extLst>
        <ext xmlns:x14="http://schemas.microsoft.com/office/spreadsheetml/2009/9/main" uri="{B025F937-C7B1-47D3-B67F-A62EFF666E3E}">
          <x14:id>{F81E5985-41EB-4BE3-84DF-E60A0E169279}</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F81E5985-41EB-4BE3-84DF-E60A0E169279}">
            <x14:dataBar minLength="0" maxLength="100" border="1" negativeBarBorderColorSameAsPositive="0">
              <x14:cfvo type="autoMin"/>
              <x14:cfvo type="autoMax"/>
              <x14:borderColor rgb="FFFFB628"/>
              <x14:negativeFillColor rgb="FFFF0000"/>
              <x14:negativeBorderColor rgb="FFFF0000"/>
              <x14:axisColor rgb="FF000000"/>
            </x14:dataBar>
          </x14:cfRule>
          <xm:sqref>B26:B31</xm:sqref>
        </x14:conditionalFormatting>
      </x14:conditionalFormattings>
    </ex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64708-B08C-4534-A307-F73D64A52B9E}">
  <dimension ref="A3:H24"/>
  <sheetViews>
    <sheetView zoomScale="90" zoomScaleNormal="90" workbookViewId="0">
      <selection activeCell="A4" sqref="A4"/>
    </sheetView>
  </sheetViews>
  <sheetFormatPr defaultRowHeight="14.5" x14ac:dyDescent="0.35"/>
  <cols>
    <col min="1" max="1" width="16.26953125" bestFit="1" customWidth="1"/>
    <col min="2" max="2" width="22.08984375" bestFit="1" customWidth="1"/>
    <col min="3" max="3" width="22" bestFit="1" customWidth="1"/>
    <col min="4" max="4" width="16.7265625" bestFit="1" customWidth="1"/>
    <col min="5" max="5" width="10.1796875" bestFit="1" customWidth="1"/>
    <col min="6" max="6" width="14.453125" bestFit="1" customWidth="1"/>
    <col min="7" max="7" width="8.36328125" bestFit="1" customWidth="1"/>
    <col min="8" max="8" width="8.90625" bestFit="1" customWidth="1"/>
  </cols>
  <sheetData>
    <row r="3" spans="1:8" x14ac:dyDescent="0.35">
      <c r="B3" t="s">
        <v>408</v>
      </c>
      <c r="C3" t="s">
        <v>407</v>
      </c>
      <c r="D3" t="s">
        <v>402</v>
      </c>
      <c r="E3" t="s">
        <v>406</v>
      </c>
      <c r="F3" t="s">
        <v>383</v>
      </c>
      <c r="G3" t="s">
        <v>384</v>
      </c>
      <c r="H3" t="s">
        <v>385</v>
      </c>
    </row>
    <row r="4" spans="1:8" x14ac:dyDescent="0.35">
      <c r="A4" s="3" t="s">
        <v>19</v>
      </c>
      <c r="B4" s="9">
        <v>71</v>
      </c>
      <c r="C4" s="9">
        <v>2464864</v>
      </c>
      <c r="D4" s="9">
        <v>187909</v>
      </c>
      <c r="E4" s="9">
        <v>10689</v>
      </c>
      <c r="F4" s="9">
        <v>34716.394366197186</v>
      </c>
      <c r="G4" s="9">
        <v>2646.605633802817</v>
      </c>
      <c r="H4" s="9">
        <v>150.54929577464787</v>
      </c>
    </row>
    <row r="5" spans="1:8" x14ac:dyDescent="0.35">
      <c r="A5" s="3" t="s">
        <v>15</v>
      </c>
      <c r="B5" s="9">
        <v>67</v>
      </c>
      <c r="C5" s="9">
        <v>2266053</v>
      </c>
      <c r="D5" s="9">
        <v>183346</v>
      </c>
      <c r="E5" s="9">
        <v>10032</v>
      </c>
      <c r="F5" s="9">
        <v>33821.686567164179</v>
      </c>
      <c r="G5" s="9">
        <v>2736.5074626865671</v>
      </c>
      <c r="H5" s="9">
        <v>149.73134328358208</v>
      </c>
    </row>
    <row r="6" spans="1:8" x14ac:dyDescent="0.35">
      <c r="A6" s="3" t="s">
        <v>11</v>
      </c>
      <c r="B6" s="9">
        <v>58</v>
      </c>
      <c r="C6" s="9">
        <v>1986356</v>
      </c>
      <c r="D6" s="9">
        <v>159783</v>
      </c>
      <c r="E6" s="9">
        <v>9872</v>
      </c>
      <c r="F6" s="9">
        <v>34247.517241379312</v>
      </c>
      <c r="G6" s="9">
        <v>2754.8793103448274</v>
      </c>
      <c r="H6" s="9">
        <v>170.20689655172413</v>
      </c>
    </row>
    <row r="7" spans="1:8" x14ac:dyDescent="0.35">
      <c r="A7" s="3" t="s">
        <v>7</v>
      </c>
      <c r="B7" s="9">
        <v>48</v>
      </c>
      <c r="C7" s="9">
        <v>1846272</v>
      </c>
      <c r="D7" s="9">
        <v>138793</v>
      </c>
      <c r="E7" s="9">
        <v>6434</v>
      </c>
      <c r="F7" s="40">
        <v>38464</v>
      </c>
      <c r="G7" s="40">
        <v>2891.5208333333335</v>
      </c>
      <c r="H7" s="9">
        <v>134.04166666666666</v>
      </c>
    </row>
    <row r="20" spans="1:4" x14ac:dyDescent="0.35">
      <c r="B20" t="s">
        <v>388</v>
      </c>
      <c r="C20" t="s">
        <v>389</v>
      </c>
      <c r="D20" t="s">
        <v>400</v>
      </c>
    </row>
    <row r="21" spans="1:4" x14ac:dyDescent="0.35">
      <c r="A21" s="3" t="s">
        <v>7</v>
      </c>
      <c r="B21" s="6">
        <v>10.340277163772086</v>
      </c>
      <c r="C21" s="6">
        <v>22.90199820628969</v>
      </c>
      <c r="D21" s="4">
        <v>-0.54849890954352254</v>
      </c>
    </row>
    <row r="22" spans="1:4" x14ac:dyDescent="0.35">
      <c r="A22" s="41" t="s">
        <v>15</v>
      </c>
      <c r="B22" s="42">
        <v>15.012452603301554</v>
      </c>
      <c r="C22" s="42">
        <v>14.479916935875103</v>
      </c>
      <c r="D22" s="43">
        <v>3.6777536071843982E-2</v>
      </c>
    </row>
    <row r="23" spans="1:4" x14ac:dyDescent="0.35">
      <c r="A23" s="3" t="s">
        <v>11</v>
      </c>
      <c r="B23" s="6">
        <v>13.223504562639771</v>
      </c>
      <c r="C23" s="6">
        <v>12.96707939392587</v>
      </c>
      <c r="D23" s="4">
        <v>1.9775090513752706E-2</v>
      </c>
    </row>
    <row r="24" spans="1:4" x14ac:dyDescent="0.35">
      <c r="A24" s="3" t="s">
        <v>19</v>
      </c>
      <c r="B24" s="6">
        <v>12.121037527354304</v>
      </c>
      <c r="C24" s="6">
        <v>19.313845276821624</v>
      </c>
      <c r="D24" s="4">
        <v>-0.37241717774861466</v>
      </c>
    </row>
  </sheetData>
  <conditionalFormatting pivot="1" sqref="F4:F7">
    <cfRule type="dataBar" priority="2">
      <dataBar>
        <cfvo type="min"/>
        <cfvo type="max"/>
        <color rgb="FF63C384"/>
      </dataBar>
      <extLst>
        <ext xmlns:x14="http://schemas.microsoft.com/office/spreadsheetml/2009/9/main" uri="{B025F937-C7B1-47D3-B67F-A62EFF666E3E}">
          <x14:id>{3D4972AA-D79E-458F-A901-22B0188218EB}</x14:id>
        </ext>
      </extLst>
    </cfRule>
  </conditionalFormatting>
  <conditionalFormatting pivot="1" sqref="C4:C7">
    <cfRule type="dataBar" priority="1">
      <dataBar>
        <cfvo type="min"/>
        <cfvo type="max"/>
        <color rgb="FF63C384"/>
      </dataBar>
      <extLst>
        <ext xmlns:x14="http://schemas.microsoft.com/office/spreadsheetml/2009/9/main" uri="{B025F937-C7B1-47D3-B67F-A62EFF666E3E}">
          <x14:id>{CA3CFFA4-1EB8-4257-8CDC-7D53B276AEEB}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3D4972AA-D79E-458F-A901-22B0188218EB}">
            <x14:dataBar minLength="0" maxLength="100" border="1" negativeBarBorderColorSameAsPositive="0">
              <x14:cfvo type="autoMin"/>
              <x14:cfvo type="autoMax"/>
              <x14:borderColor rgb="FF63C384"/>
              <x14:negativeFillColor rgb="FFFF0000"/>
              <x14:negativeBorderColor rgb="FFFF0000"/>
              <x14:axisColor rgb="FF000000"/>
            </x14:dataBar>
          </x14:cfRule>
          <xm:sqref>F4:F7</xm:sqref>
        </x14:conditionalFormatting>
        <x14:conditionalFormatting xmlns:xm="http://schemas.microsoft.com/office/excel/2006/main" pivot="1">
          <x14:cfRule type="dataBar" id="{CA3CFFA4-1EB8-4257-8CDC-7D53B276AEEB}">
            <x14:dataBar minLength="0" maxLength="100" border="1" negativeBarBorderColorSameAsPositive="0">
              <x14:cfvo type="autoMin"/>
              <x14:cfvo type="autoMax"/>
              <x14:borderColor rgb="FF63C384"/>
              <x14:negativeFillColor rgb="FFFF0000"/>
              <x14:negativeBorderColor rgb="FFFF0000"/>
              <x14:axisColor rgb="FF000000"/>
            </x14:dataBar>
          </x14:cfRule>
          <xm:sqref>C4:C7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291AB-CF69-456A-BE2F-C1B1A2432D28}">
  <dimension ref="A3:D32"/>
  <sheetViews>
    <sheetView zoomScale="90" zoomScaleNormal="90" workbookViewId="0">
      <selection activeCell="A14" sqref="A14"/>
    </sheetView>
  </sheetViews>
  <sheetFormatPr defaultRowHeight="14.5" x14ac:dyDescent="0.35"/>
  <cols>
    <col min="1" max="1" width="18.6328125" customWidth="1"/>
    <col min="2" max="2" width="23.6328125" bestFit="1" customWidth="1"/>
    <col min="3" max="3" width="18.453125" bestFit="1" customWidth="1"/>
    <col min="4" max="4" width="23.6328125" bestFit="1" customWidth="1"/>
    <col min="5" max="5" width="18.453125" bestFit="1" customWidth="1"/>
  </cols>
  <sheetData>
    <row r="3" spans="1:4" x14ac:dyDescent="0.35">
      <c r="B3" t="s">
        <v>411</v>
      </c>
      <c r="C3" t="s">
        <v>419</v>
      </c>
      <c r="D3" t="s">
        <v>392</v>
      </c>
    </row>
    <row r="4" spans="1:4" x14ac:dyDescent="0.35">
      <c r="A4" s="45" t="s">
        <v>7</v>
      </c>
      <c r="B4" s="46">
        <v>103773</v>
      </c>
      <c r="C4" s="46">
        <v>150000</v>
      </c>
      <c r="D4" s="47">
        <v>1.4454626926079037</v>
      </c>
    </row>
    <row r="5" spans="1:4" x14ac:dyDescent="0.35">
      <c r="A5" s="3" t="s">
        <v>11</v>
      </c>
      <c r="B5" s="7">
        <v>137691</v>
      </c>
      <c r="C5" s="7">
        <v>200000</v>
      </c>
      <c r="D5" s="22">
        <v>1.4525277614368404</v>
      </c>
    </row>
    <row r="6" spans="1:4" x14ac:dyDescent="0.35">
      <c r="A6" s="3" t="s">
        <v>19</v>
      </c>
      <c r="B6" s="7">
        <v>106020</v>
      </c>
      <c r="C6" s="7">
        <v>180000</v>
      </c>
      <c r="D6" s="22">
        <v>1.6977928692699491</v>
      </c>
    </row>
    <row r="7" spans="1:4" x14ac:dyDescent="0.35">
      <c r="A7" s="3" t="s">
        <v>15</v>
      </c>
      <c r="B7" s="7">
        <v>33044</v>
      </c>
      <c r="C7" s="7">
        <v>250000</v>
      </c>
      <c r="D7" s="22">
        <v>7.5656700157365933</v>
      </c>
    </row>
    <row r="9" spans="1:4" ht="72.5" x14ac:dyDescent="0.35">
      <c r="A9" s="44" t="s">
        <v>409</v>
      </c>
    </row>
    <row r="12" spans="1:4" ht="43.5" x14ac:dyDescent="0.35">
      <c r="A12" s="57" t="s">
        <v>415</v>
      </c>
    </row>
    <row r="13" spans="1:4" x14ac:dyDescent="0.35">
      <c r="A13" s="58">
        <f>CORREL(B4:B6,C4:C6)</f>
        <v>0.83685086737786663</v>
      </c>
    </row>
    <row r="14" spans="1:4" ht="72.5" x14ac:dyDescent="0.35">
      <c r="A14" s="57" t="s">
        <v>416</v>
      </c>
    </row>
    <row r="24" spans="1:2" x14ac:dyDescent="0.35">
      <c r="B24" t="s">
        <v>393</v>
      </c>
    </row>
    <row r="25" spans="1:2" x14ac:dyDescent="0.35">
      <c r="A25" s="3" t="s">
        <v>19</v>
      </c>
      <c r="B25">
        <v>11780</v>
      </c>
    </row>
    <row r="26" spans="1:2" x14ac:dyDescent="0.35">
      <c r="A26" s="3" t="s">
        <v>7</v>
      </c>
      <c r="B26">
        <v>11253</v>
      </c>
    </row>
    <row r="27" spans="1:2" x14ac:dyDescent="0.35">
      <c r="A27" s="3" t="s">
        <v>11</v>
      </c>
      <c r="B27">
        <v>8436</v>
      </c>
    </row>
    <row r="28" spans="1:2" x14ac:dyDescent="0.35">
      <c r="A28" s="3" t="s">
        <v>15</v>
      </c>
      <c r="B28">
        <v>6530</v>
      </c>
    </row>
    <row r="32" spans="1:2" ht="58" x14ac:dyDescent="0.35">
      <c r="A32" s="39" t="s">
        <v>410</v>
      </c>
    </row>
  </sheetData>
  <conditionalFormatting pivot="1" sqref="B25:B28">
    <cfRule type="colorScale" priority="1">
      <colorScale>
        <cfvo type="min"/>
        <cfvo type="max"/>
        <color rgb="FFFFEF9C"/>
        <color rgb="FF63BE7B"/>
      </colorScale>
    </cfRule>
  </conditionalFormatting>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007CB-02AB-4192-805F-A5341483C4A3}">
  <dimension ref="A3:E68"/>
  <sheetViews>
    <sheetView tabSelected="1" zoomScale="70" zoomScaleNormal="70" workbookViewId="0">
      <selection activeCell="D22" sqref="D22"/>
    </sheetView>
  </sheetViews>
  <sheetFormatPr defaultRowHeight="14.5" x14ac:dyDescent="0.35"/>
  <cols>
    <col min="1" max="1" width="15.08984375" bestFit="1" customWidth="1"/>
    <col min="2" max="2" width="20.08984375" bestFit="1" customWidth="1"/>
    <col min="3" max="3" width="9.26953125" bestFit="1" customWidth="1"/>
    <col min="4" max="4" width="14.90625" bestFit="1" customWidth="1"/>
    <col min="5" max="5" width="8.1796875" bestFit="1" customWidth="1"/>
    <col min="6" max="6" width="10.7265625" bestFit="1" customWidth="1"/>
  </cols>
  <sheetData>
    <row r="3" spans="1:5" x14ac:dyDescent="0.35">
      <c r="A3" s="2" t="s">
        <v>394</v>
      </c>
    </row>
    <row r="4" spans="1:5" x14ac:dyDescent="0.35">
      <c r="B4" t="s">
        <v>31</v>
      </c>
      <c r="C4" t="s">
        <v>30</v>
      </c>
      <c r="D4" t="s">
        <v>32</v>
      </c>
      <c r="E4" t="s">
        <v>33</v>
      </c>
    </row>
    <row r="5" spans="1:5" x14ac:dyDescent="0.35">
      <c r="A5" s="34">
        <v>45474</v>
      </c>
      <c r="B5">
        <v>64</v>
      </c>
      <c r="C5">
        <v>-219</v>
      </c>
      <c r="D5">
        <v>1357</v>
      </c>
      <c r="E5">
        <v>91</v>
      </c>
    </row>
    <row r="6" spans="1:5" x14ac:dyDescent="0.35">
      <c r="A6" s="34">
        <v>45481</v>
      </c>
      <c r="B6">
        <v>309</v>
      </c>
      <c r="C6">
        <v>1672</v>
      </c>
      <c r="D6">
        <v>547</v>
      </c>
      <c r="E6">
        <v>514</v>
      </c>
    </row>
    <row r="7" spans="1:5" x14ac:dyDescent="0.35">
      <c r="A7" s="34">
        <v>45488</v>
      </c>
      <c r="B7">
        <v>-164</v>
      </c>
      <c r="C7">
        <v>1845</v>
      </c>
      <c r="D7">
        <v>429</v>
      </c>
      <c r="E7">
        <v>160</v>
      </c>
    </row>
    <row r="8" spans="1:5" x14ac:dyDescent="0.35">
      <c r="A8" s="34">
        <v>45495</v>
      </c>
      <c r="B8">
        <v>961</v>
      </c>
      <c r="C8">
        <v>159</v>
      </c>
      <c r="D8">
        <v>1316</v>
      </c>
      <c r="E8">
        <v>317</v>
      </c>
    </row>
    <row r="9" spans="1:5" x14ac:dyDescent="0.35">
      <c r="A9" s="34">
        <v>45502</v>
      </c>
      <c r="B9">
        <v>-318</v>
      </c>
      <c r="C9">
        <v>541</v>
      </c>
      <c r="D9">
        <v>1495</v>
      </c>
      <c r="E9">
        <v>475</v>
      </c>
    </row>
    <row r="10" spans="1:5" x14ac:dyDescent="0.35">
      <c r="A10" s="34">
        <v>45509</v>
      </c>
      <c r="B10">
        <v>-197</v>
      </c>
      <c r="C10">
        <v>352</v>
      </c>
      <c r="D10">
        <v>328</v>
      </c>
      <c r="E10">
        <v>319</v>
      </c>
    </row>
    <row r="11" spans="1:5" x14ac:dyDescent="0.35">
      <c r="A11" s="34">
        <v>45516</v>
      </c>
      <c r="B11">
        <v>1334</v>
      </c>
      <c r="C11">
        <v>1325</v>
      </c>
      <c r="D11">
        <v>37</v>
      </c>
      <c r="E11">
        <v>1032</v>
      </c>
    </row>
    <row r="12" spans="1:5" x14ac:dyDescent="0.35">
      <c r="A12" s="34">
        <v>45523</v>
      </c>
      <c r="B12">
        <v>1058</v>
      </c>
      <c r="C12">
        <v>76</v>
      </c>
      <c r="D12">
        <v>1665</v>
      </c>
      <c r="E12">
        <v>190</v>
      </c>
    </row>
    <row r="13" spans="1:5" x14ac:dyDescent="0.35">
      <c r="A13" s="34">
        <v>45530</v>
      </c>
      <c r="B13">
        <v>37</v>
      </c>
      <c r="C13">
        <v>1609</v>
      </c>
      <c r="D13">
        <v>1229</v>
      </c>
      <c r="E13">
        <v>28</v>
      </c>
    </row>
    <row r="14" spans="1:5" x14ac:dyDescent="0.35">
      <c r="A14" s="34">
        <v>45537</v>
      </c>
      <c r="B14">
        <v>1045</v>
      </c>
      <c r="C14">
        <v>1247</v>
      </c>
      <c r="D14">
        <v>197</v>
      </c>
      <c r="E14">
        <v>333</v>
      </c>
    </row>
    <row r="15" spans="1:5" x14ac:dyDescent="0.35">
      <c r="A15" s="34">
        <v>45544</v>
      </c>
      <c r="B15">
        <v>1428</v>
      </c>
      <c r="C15">
        <v>1572</v>
      </c>
      <c r="D15">
        <v>260</v>
      </c>
      <c r="E15">
        <v>1100</v>
      </c>
    </row>
    <row r="16" spans="1:5" x14ac:dyDescent="0.35">
      <c r="A16" s="34">
        <v>45551</v>
      </c>
      <c r="B16">
        <v>98</v>
      </c>
      <c r="C16">
        <v>377</v>
      </c>
      <c r="D16">
        <v>1125</v>
      </c>
      <c r="E16">
        <v>-32</v>
      </c>
    </row>
    <row r="17" spans="1:5" x14ac:dyDescent="0.35">
      <c r="A17" s="34">
        <v>45558</v>
      </c>
      <c r="B17">
        <v>-19</v>
      </c>
      <c r="C17">
        <v>666</v>
      </c>
      <c r="D17">
        <v>1680</v>
      </c>
      <c r="E17">
        <v>1006</v>
      </c>
    </row>
    <row r="18" spans="1:5" x14ac:dyDescent="0.35">
      <c r="A18" s="34">
        <v>45565</v>
      </c>
      <c r="B18">
        <v>-179</v>
      </c>
      <c r="C18">
        <v>1025</v>
      </c>
      <c r="D18">
        <v>599</v>
      </c>
      <c r="E18">
        <v>1706</v>
      </c>
    </row>
    <row r="60" spans="1:2" x14ac:dyDescent="0.35">
      <c r="B60" t="s">
        <v>395</v>
      </c>
    </row>
    <row r="61" spans="1:2" x14ac:dyDescent="0.35">
      <c r="A61" s="49">
        <v>45656</v>
      </c>
      <c r="B61" s="50">
        <v>6530</v>
      </c>
    </row>
    <row r="62" spans="1:2" x14ac:dyDescent="0.35">
      <c r="A62" s="34">
        <v>45698</v>
      </c>
      <c r="B62">
        <v>5281</v>
      </c>
    </row>
    <row r="63" spans="1:2" x14ac:dyDescent="0.35">
      <c r="A63" s="34">
        <v>45642</v>
      </c>
      <c r="B63">
        <v>5044</v>
      </c>
    </row>
    <row r="64" spans="1:2" x14ac:dyDescent="0.35">
      <c r="A64" s="34">
        <v>45712</v>
      </c>
      <c r="B64">
        <v>4806</v>
      </c>
    </row>
    <row r="65" spans="1:2" x14ac:dyDescent="0.35">
      <c r="A65" s="34">
        <v>45628</v>
      </c>
      <c r="B65">
        <v>4795</v>
      </c>
    </row>
    <row r="66" spans="1:2" x14ac:dyDescent="0.35">
      <c r="B66" s="48" t="s">
        <v>399</v>
      </c>
    </row>
    <row r="67" spans="1:2" x14ac:dyDescent="0.35">
      <c r="B67" s="51">
        <f>WEEKNUM(A61)</f>
        <v>53</v>
      </c>
    </row>
    <row r="68" spans="1:2" ht="72.5" x14ac:dyDescent="0.35">
      <c r="B68" s="39" t="s">
        <v>412</v>
      </c>
    </row>
  </sheetData>
  <conditionalFormatting pivot="1" sqref="B61:B65">
    <cfRule type="colorScale" priority="1">
      <colorScale>
        <cfvo type="min"/>
        <cfvo type="max"/>
        <color theme="4"/>
        <color theme="4" tint="0.59999389629810485"/>
      </colorScale>
    </cfRule>
  </conditionalFormatting>
  <pageMargins left="0.7" right="0.7" top="0.75" bottom="0.75" header="0.3" footer="0.3"/>
  <drawing r:id="rId3"/>
  <extLst>
    <ext xmlns:x15="http://schemas.microsoft.com/office/spreadsheetml/2010/11/main" uri="{7E03D99C-DC04-49d9-9315-930204A7B6E9}">
      <x15:timelineRefs>
        <x15:timelineRef r:id="rId4"/>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CD5F2-05A1-4B8D-A9A8-2F036CE859CB}">
  <dimension ref="A1:C67"/>
  <sheetViews>
    <sheetView zoomScale="50" zoomScaleNormal="50" workbookViewId="0">
      <selection activeCell="A66" sqref="A66"/>
    </sheetView>
  </sheetViews>
  <sheetFormatPr defaultRowHeight="14.5" x14ac:dyDescent="0.35"/>
  <cols>
    <col min="1" max="1" width="18.90625" customWidth="1"/>
    <col min="2" max="2" width="19.90625" bestFit="1" customWidth="1"/>
    <col min="3" max="3" width="41" bestFit="1" customWidth="1"/>
    <col min="6" max="6" width="15.90625" bestFit="1" customWidth="1"/>
    <col min="7" max="8" width="31.7265625" bestFit="1" customWidth="1"/>
  </cols>
  <sheetData>
    <row r="1" spans="1:3" x14ac:dyDescent="0.35">
      <c r="A1" s="53" t="s">
        <v>398</v>
      </c>
      <c r="B1" s="54" t="s">
        <v>394</v>
      </c>
      <c r="C1" s="53" t="s">
        <v>397</v>
      </c>
    </row>
    <row r="2" spans="1:3" x14ac:dyDescent="0.35">
      <c r="A2" s="34">
        <v>45446</v>
      </c>
      <c r="B2">
        <v>3554</v>
      </c>
      <c r="C2" s="7">
        <f t="shared" ref="C2:C48" si="0">AVERAGE(B2:B5)</f>
        <v>3363</v>
      </c>
    </row>
    <row r="3" spans="1:3" x14ac:dyDescent="0.35">
      <c r="A3" s="34">
        <v>45453</v>
      </c>
      <c r="B3">
        <v>2980</v>
      </c>
      <c r="C3" s="7">
        <f t="shared" si="0"/>
        <v>2797.75</v>
      </c>
    </row>
    <row r="4" spans="1:3" x14ac:dyDescent="0.35">
      <c r="A4" s="34">
        <v>45460</v>
      </c>
      <c r="B4">
        <v>3907</v>
      </c>
      <c r="C4" s="7">
        <f t="shared" si="0"/>
        <v>2813.25</v>
      </c>
    </row>
    <row r="5" spans="1:3" x14ac:dyDescent="0.35">
      <c r="A5" s="34">
        <v>45467</v>
      </c>
      <c r="B5">
        <v>3011</v>
      </c>
      <c r="C5" s="7">
        <f t="shared" si="0"/>
        <v>2404</v>
      </c>
    </row>
    <row r="6" spans="1:3" x14ac:dyDescent="0.35">
      <c r="A6" s="34">
        <v>45474</v>
      </c>
      <c r="B6">
        <v>1293</v>
      </c>
      <c r="C6" s="7">
        <f t="shared" si="0"/>
        <v>2339.5</v>
      </c>
    </row>
    <row r="7" spans="1:3" x14ac:dyDescent="0.35">
      <c r="A7" s="34">
        <v>45481</v>
      </c>
      <c r="B7">
        <v>3042</v>
      </c>
      <c r="C7" s="7">
        <f t="shared" si="0"/>
        <v>2564.5</v>
      </c>
    </row>
    <row r="8" spans="1:3" x14ac:dyDescent="0.35">
      <c r="A8" s="34">
        <v>45488</v>
      </c>
      <c r="B8">
        <v>2270</v>
      </c>
      <c r="C8" s="7">
        <f t="shared" si="0"/>
        <v>2004.5</v>
      </c>
    </row>
    <row r="9" spans="1:3" x14ac:dyDescent="0.35">
      <c r="A9" s="34">
        <v>45495</v>
      </c>
      <c r="B9">
        <v>2753</v>
      </c>
      <c r="C9" s="7">
        <f t="shared" si="0"/>
        <v>2369</v>
      </c>
    </row>
    <row r="10" spans="1:3" x14ac:dyDescent="0.35">
      <c r="A10" s="34">
        <v>45502</v>
      </c>
      <c r="B10">
        <v>2193</v>
      </c>
      <c r="C10" s="7">
        <f t="shared" si="0"/>
        <v>2428</v>
      </c>
    </row>
    <row r="11" spans="1:3" x14ac:dyDescent="0.35">
      <c r="A11" s="34">
        <v>45509</v>
      </c>
      <c r="B11">
        <v>802</v>
      </c>
      <c r="C11" s="7">
        <f t="shared" si="0"/>
        <v>2605.5</v>
      </c>
    </row>
    <row r="12" spans="1:3" x14ac:dyDescent="0.35">
      <c r="A12" s="34">
        <v>45516</v>
      </c>
      <c r="B12">
        <v>3728</v>
      </c>
      <c r="C12" s="7">
        <f t="shared" si="0"/>
        <v>3110.5</v>
      </c>
    </row>
    <row r="13" spans="1:3" x14ac:dyDescent="0.35">
      <c r="A13" s="34">
        <v>45523</v>
      </c>
      <c r="B13">
        <v>2989</v>
      </c>
      <c r="C13" s="7">
        <f t="shared" si="0"/>
        <v>3268.5</v>
      </c>
    </row>
    <row r="14" spans="1:3" x14ac:dyDescent="0.35">
      <c r="A14" s="34">
        <v>45530</v>
      </c>
      <c r="B14">
        <v>2903</v>
      </c>
      <c r="C14" s="7">
        <f t="shared" si="0"/>
        <v>2913.25</v>
      </c>
    </row>
    <row r="15" spans="1:3" x14ac:dyDescent="0.35">
      <c r="A15" s="34">
        <v>45537</v>
      </c>
      <c r="B15">
        <v>2822</v>
      </c>
      <c r="C15" s="7">
        <f t="shared" si="0"/>
        <v>3020.75</v>
      </c>
    </row>
    <row r="16" spans="1:3" x14ac:dyDescent="0.35">
      <c r="A16" s="34">
        <v>45544</v>
      </c>
      <c r="B16">
        <v>4360</v>
      </c>
      <c r="C16" s="7">
        <f t="shared" si="0"/>
        <v>3103</v>
      </c>
    </row>
    <row r="17" spans="1:3" x14ac:dyDescent="0.35">
      <c r="A17" s="34">
        <v>45551</v>
      </c>
      <c r="B17">
        <v>1568</v>
      </c>
      <c r="C17" s="7">
        <f t="shared" si="0"/>
        <v>2952.75</v>
      </c>
    </row>
    <row r="18" spans="1:3" x14ac:dyDescent="0.35">
      <c r="A18" s="34">
        <v>45558</v>
      </c>
      <c r="B18">
        <v>3333</v>
      </c>
      <c r="C18" s="7">
        <f t="shared" si="0"/>
        <v>3024.75</v>
      </c>
    </row>
    <row r="19" spans="1:3" x14ac:dyDescent="0.35">
      <c r="A19" s="34">
        <v>45565</v>
      </c>
      <c r="B19">
        <v>3151</v>
      </c>
      <c r="C19" s="7">
        <f t="shared" si="0"/>
        <v>2896.75</v>
      </c>
    </row>
    <row r="20" spans="1:3" x14ac:dyDescent="0.35">
      <c r="A20" s="34">
        <v>45572</v>
      </c>
      <c r="B20">
        <v>3759</v>
      </c>
      <c r="C20" s="7">
        <f t="shared" si="0"/>
        <v>2773</v>
      </c>
    </row>
    <row r="21" spans="1:3" x14ac:dyDescent="0.35">
      <c r="A21" s="34">
        <v>45579</v>
      </c>
      <c r="B21">
        <v>1856</v>
      </c>
      <c r="C21" s="7">
        <f t="shared" si="0"/>
        <v>2979.25</v>
      </c>
    </row>
    <row r="22" spans="1:3" x14ac:dyDescent="0.35">
      <c r="A22" s="34">
        <v>45586</v>
      </c>
      <c r="B22">
        <v>2821</v>
      </c>
      <c r="C22" s="7">
        <f t="shared" si="0"/>
        <v>3089</v>
      </c>
    </row>
    <row r="23" spans="1:3" x14ac:dyDescent="0.35">
      <c r="A23" s="34">
        <v>45593</v>
      </c>
      <c r="B23">
        <v>2656</v>
      </c>
      <c r="C23" s="7">
        <f t="shared" si="0"/>
        <v>2515.75</v>
      </c>
    </row>
    <row r="24" spans="1:3" x14ac:dyDescent="0.35">
      <c r="A24" s="34">
        <v>45600</v>
      </c>
      <c r="B24">
        <v>4584</v>
      </c>
      <c r="C24" s="7">
        <f t="shared" si="0"/>
        <v>2853.75</v>
      </c>
    </row>
    <row r="25" spans="1:3" x14ac:dyDescent="0.35">
      <c r="A25" s="34">
        <v>45607</v>
      </c>
      <c r="B25">
        <v>2295</v>
      </c>
      <c r="C25" s="7">
        <f t="shared" si="0"/>
        <v>2906.5</v>
      </c>
    </row>
    <row r="26" spans="1:3" x14ac:dyDescent="0.35">
      <c r="A26" s="34">
        <v>45614</v>
      </c>
      <c r="B26">
        <v>528</v>
      </c>
      <c r="C26" s="7">
        <f t="shared" si="0"/>
        <v>3530.75</v>
      </c>
    </row>
    <row r="27" spans="1:3" x14ac:dyDescent="0.35">
      <c r="A27" s="34">
        <v>45621</v>
      </c>
      <c r="B27">
        <v>4008</v>
      </c>
      <c r="C27" s="7">
        <f t="shared" si="0"/>
        <v>4659.75</v>
      </c>
    </row>
    <row r="28" spans="1:3" x14ac:dyDescent="0.35">
      <c r="A28" s="34">
        <v>45628</v>
      </c>
      <c r="B28">
        <v>4795</v>
      </c>
      <c r="C28" s="7">
        <f t="shared" si="0"/>
        <v>4636.25</v>
      </c>
    </row>
    <row r="29" spans="1:3" x14ac:dyDescent="0.35">
      <c r="A29" s="34">
        <v>45635</v>
      </c>
      <c r="B29">
        <v>4792</v>
      </c>
      <c r="C29" s="7">
        <f t="shared" si="0"/>
        <v>5070</v>
      </c>
    </row>
    <row r="30" spans="1:3" x14ac:dyDescent="0.35">
      <c r="A30" s="34">
        <v>45642</v>
      </c>
      <c r="B30">
        <v>5044</v>
      </c>
      <c r="C30" s="7">
        <f t="shared" si="0"/>
        <v>4761.25</v>
      </c>
    </row>
    <row r="31" spans="1:3" x14ac:dyDescent="0.35">
      <c r="A31" s="34">
        <v>45649</v>
      </c>
      <c r="B31">
        <v>3914</v>
      </c>
      <c r="C31" s="7">
        <f t="shared" si="0"/>
        <v>4194.5</v>
      </c>
    </row>
    <row r="32" spans="1:3" x14ac:dyDescent="0.35">
      <c r="A32" s="34">
        <v>45656</v>
      </c>
      <c r="B32">
        <v>6530</v>
      </c>
      <c r="C32" s="7">
        <f t="shared" si="0"/>
        <v>4119.5</v>
      </c>
    </row>
    <row r="33" spans="1:3" x14ac:dyDescent="0.35">
      <c r="A33" s="34">
        <v>45663</v>
      </c>
      <c r="B33">
        <v>3557</v>
      </c>
      <c r="C33" s="7">
        <f t="shared" si="0"/>
        <v>3332.75</v>
      </c>
    </row>
    <row r="34" spans="1:3" x14ac:dyDescent="0.35">
      <c r="A34" s="34">
        <v>45670</v>
      </c>
      <c r="B34">
        <v>2777</v>
      </c>
      <c r="C34" s="7">
        <f t="shared" si="0"/>
        <v>2992</v>
      </c>
    </row>
    <row r="35" spans="1:3" x14ac:dyDescent="0.35">
      <c r="A35" s="34">
        <v>45677</v>
      </c>
      <c r="B35">
        <v>3614</v>
      </c>
      <c r="C35" s="7">
        <f t="shared" si="0"/>
        <v>3618</v>
      </c>
    </row>
    <row r="36" spans="1:3" x14ac:dyDescent="0.35">
      <c r="A36" s="34">
        <v>45684</v>
      </c>
      <c r="B36">
        <v>3383</v>
      </c>
      <c r="C36" s="7">
        <f t="shared" si="0"/>
        <v>3637.75</v>
      </c>
    </row>
    <row r="37" spans="1:3" x14ac:dyDescent="0.35">
      <c r="A37" s="34">
        <v>45691</v>
      </c>
      <c r="B37">
        <v>2194</v>
      </c>
      <c r="C37" s="7">
        <f t="shared" si="0"/>
        <v>3993.5</v>
      </c>
    </row>
    <row r="38" spans="1:3" x14ac:dyDescent="0.35">
      <c r="A38" s="34">
        <v>45698</v>
      </c>
      <c r="B38">
        <v>5281</v>
      </c>
      <c r="C38" s="7">
        <f t="shared" si="0"/>
        <v>4047.5</v>
      </c>
    </row>
    <row r="39" spans="1:3" x14ac:dyDescent="0.35">
      <c r="A39" s="34">
        <v>45705</v>
      </c>
      <c r="B39">
        <v>3693</v>
      </c>
      <c r="C39" s="7">
        <f t="shared" si="0"/>
        <v>3655.25</v>
      </c>
    </row>
    <row r="40" spans="1:3" x14ac:dyDescent="0.35">
      <c r="A40" s="34">
        <v>45712</v>
      </c>
      <c r="B40">
        <v>4806</v>
      </c>
      <c r="C40" s="7">
        <f t="shared" si="0"/>
        <v>3742.5</v>
      </c>
    </row>
    <row r="41" spans="1:3" x14ac:dyDescent="0.35">
      <c r="A41" s="34">
        <v>45719</v>
      </c>
      <c r="B41">
        <v>2410</v>
      </c>
      <c r="C41" s="7">
        <f t="shared" si="0"/>
        <v>2945</v>
      </c>
    </row>
    <row r="42" spans="1:3" x14ac:dyDescent="0.35">
      <c r="A42" s="34">
        <v>45726</v>
      </c>
      <c r="B42">
        <v>3712</v>
      </c>
      <c r="C42" s="7">
        <f t="shared" si="0"/>
        <v>3417</v>
      </c>
    </row>
    <row r="43" spans="1:3" x14ac:dyDescent="0.35">
      <c r="A43" s="34">
        <v>45733</v>
      </c>
      <c r="B43">
        <v>4042</v>
      </c>
      <c r="C43" s="7">
        <f t="shared" si="0"/>
        <v>3092</v>
      </c>
    </row>
    <row r="44" spans="1:3" x14ac:dyDescent="0.35">
      <c r="A44" s="34">
        <v>45740</v>
      </c>
      <c r="B44">
        <v>1616</v>
      </c>
      <c r="C44" s="7">
        <f t="shared" si="0"/>
        <v>2047.25</v>
      </c>
    </row>
    <row r="45" spans="1:3" x14ac:dyDescent="0.35">
      <c r="A45" s="34">
        <v>45747</v>
      </c>
      <c r="B45">
        <v>4298</v>
      </c>
      <c r="C45" s="7">
        <f t="shared" si="0"/>
        <v>2653.25</v>
      </c>
    </row>
    <row r="46" spans="1:3" x14ac:dyDescent="0.35">
      <c r="A46" s="34">
        <v>45754</v>
      </c>
      <c r="B46">
        <v>2412</v>
      </c>
      <c r="C46" s="7">
        <f t="shared" si="0"/>
        <v>2473</v>
      </c>
    </row>
    <row r="47" spans="1:3" x14ac:dyDescent="0.35">
      <c r="A47" s="34">
        <v>45761</v>
      </c>
      <c r="B47">
        <v>-137</v>
      </c>
      <c r="C47" s="7">
        <f t="shared" si="0"/>
        <v>3018.5</v>
      </c>
    </row>
    <row r="48" spans="1:3" x14ac:dyDescent="0.35">
      <c r="A48" s="34">
        <v>45768</v>
      </c>
      <c r="B48">
        <v>4040</v>
      </c>
      <c r="C48" s="7">
        <f t="shared" si="0"/>
        <v>3551.5</v>
      </c>
    </row>
    <row r="49" spans="1:3" x14ac:dyDescent="0.35">
      <c r="A49" s="34">
        <v>45775</v>
      </c>
      <c r="B49">
        <v>3577</v>
      </c>
      <c r="C49" s="7">
        <f t="shared" ref="C49:C51" si="1">AVERAGE(B49:B52)</f>
        <v>3388.6666666666665</v>
      </c>
    </row>
    <row r="50" spans="1:3" x14ac:dyDescent="0.35">
      <c r="A50" s="34">
        <v>45782</v>
      </c>
      <c r="B50">
        <v>4594</v>
      </c>
      <c r="C50" s="7">
        <f t="shared" si="1"/>
        <v>3294.5</v>
      </c>
    </row>
    <row r="51" spans="1:3" x14ac:dyDescent="0.35">
      <c r="A51" s="34">
        <v>45789</v>
      </c>
      <c r="B51">
        <v>1995</v>
      </c>
      <c r="C51" s="7">
        <f t="shared" si="1"/>
        <v>1995</v>
      </c>
    </row>
    <row r="65" spans="1:1" ht="43.5" x14ac:dyDescent="0.35">
      <c r="A65" s="39" t="s">
        <v>413</v>
      </c>
    </row>
    <row r="66" spans="1:1" x14ac:dyDescent="0.35">
      <c r="A66" s="52">
        <f>CORREL(Engagement_Summary[Ad_Spend],Engagement_Summary[Follower Growth])</f>
        <v>8.5932221904422137E-2</v>
      </c>
    </row>
    <row r="67" spans="1:1" ht="29" x14ac:dyDescent="0.35">
      <c r="A67" s="39" t="s">
        <v>396</v>
      </c>
    </row>
  </sheetData>
  <pageMargins left="0.7" right="0.7" top="0.75" bottom="0.75" header="0.3" footer="0.3"/>
  <ignoredErrors>
    <ignoredError sqref="C2:C48 C49:C51" formulaRange="1"/>
  </ignoredError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62C9E-5DB9-4399-83C2-7DE346CBC131}">
  <dimension ref="A1"/>
  <sheetViews>
    <sheetView showGridLines="0" showRowColHeaders="0" zoomScale="80" zoomScaleNormal="80" workbookViewId="0">
      <selection activeCell="R14" sqref="R14"/>
    </sheetView>
  </sheetViews>
  <sheetFormatPr defaultRowHeight="14.5" x14ac:dyDescent="0.3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B0D96-D68B-46D5-87B0-4877A580347F}">
  <dimension ref="A1:A4"/>
  <sheetViews>
    <sheetView workbookViewId="0">
      <selection activeCell="A5" sqref="A5"/>
    </sheetView>
  </sheetViews>
  <sheetFormatPr defaultRowHeight="14.5" x14ac:dyDescent="0.35"/>
  <cols>
    <col min="1" max="1" width="83.08984375" customWidth="1"/>
  </cols>
  <sheetData>
    <row r="1" spans="1:1" ht="101.5" x14ac:dyDescent="0.35">
      <c r="A1" s="57" t="s">
        <v>420</v>
      </c>
    </row>
    <row r="3" spans="1:1" x14ac:dyDescent="0.35">
      <c r="A3" s="48" t="s">
        <v>421</v>
      </c>
    </row>
    <row r="4" spans="1:1" x14ac:dyDescent="0.35">
      <c r="A4" s="61" t="s">
        <v>422</v>
      </c>
    </row>
  </sheetData>
  <hyperlinks>
    <hyperlink ref="A4" r:id="rId1" xr:uid="{AA5D6A9C-7A76-45D7-B1F5-EE3C14067209}"/>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D8DBD-A4FB-4662-815D-DFECDDD65751}">
  <dimension ref="A1:N302"/>
  <sheetViews>
    <sheetView zoomScale="80" zoomScaleNormal="80" workbookViewId="0">
      <selection activeCell="E4" sqref="E4"/>
    </sheetView>
  </sheetViews>
  <sheetFormatPr defaultRowHeight="14.5" x14ac:dyDescent="0.35"/>
  <cols>
    <col min="1" max="1" width="9.08984375" bestFit="1" customWidth="1"/>
    <col min="2" max="2" width="10.453125" bestFit="1" customWidth="1"/>
    <col min="3" max="3" width="10.81640625" bestFit="1" customWidth="1"/>
    <col min="4" max="4" width="14.36328125" bestFit="1" customWidth="1"/>
    <col min="5" max="5" width="7.1796875" bestFit="1" customWidth="1"/>
    <col min="6" max="6" width="8.6328125" bestFit="1" customWidth="1"/>
    <col min="7" max="7" width="12.1796875" bestFit="1" customWidth="1"/>
    <col min="8" max="8" width="13.1796875" bestFit="1" customWidth="1"/>
    <col min="9" max="9" width="8.08984375" bestFit="1" customWidth="1"/>
    <col min="10" max="10" width="7.7265625" bestFit="1" customWidth="1"/>
    <col min="11" max="11" width="51" bestFit="1" customWidth="1"/>
    <col min="12" max="12" width="17.36328125" bestFit="1" customWidth="1"/>
    <col min="13" max="13" width="17.81640625" style="5" bestFit="1" customWidth="1"/>
    <col min="14" max="14" width="14.26953125" bestFit="1" customWidth="1"/>
  </cols>
  <sheetData>
    <row r="1" spans="1:14" x14ac:dyDescent="0.35">
      <c r="A1" t="s">
        <v>34</v>
      </c>
      <c r="B1" t="s">
        <v>24</v>
      </c>
      <c r="C1" t="s">
        <v>35</v>
      </c>
      <c r="D1" t="s">
        <v>36</v>
      </c>
      <c r="E1" t="s">
        <v>37</v>
      </c>
      <c r="F1" t="s">
        <v>38</v>
      </c>
      <c r="G1" t="s">
        <v>39</v>
      </c>
      <c r="H1" t="s">
        <v>40</v>
      </c>
      <c r="I1" t="s">
        <v>41</v>
      </c>
      <c r="J1" t="s">
        <v>42</v>
      </c>
      <c r="K1" t="s">
        <v>43</v>
      </c>
      <c r="L1" t="s">
        <v>0</v>
      </c>
      <c r="M1" s="5" t="s">
        <v>357</v>
      </c>
      <c r="N1" t="s">
        <v>390</v>
      </c>
    </row>
    <row r="2" spans="1:14" x14ac:dyDescent="0.35">
      <c r="A2" t="s">
        <v>153</v>
      </c>
      <c r="B2" t="s">
        <v>32</v>
      </c>
      <c r="C2" s="1">
        <v>45649</v>
      </c>
      <c r="D2" t="s">
        <v>48</v>
      </c>
      <c r="E2">
        <v>1461</v>
      </c>
      <c r="F2">
        <v>184</v>
      </c>
      <c r="G2">
        <v>344</v>
      </c>
      <c r="H2">
        <v>21915</v>
      </c>
      <c r="I2">
        <v>21675</v>
      </c>
      <c r="J2">
        <v>15</v>
      </c>
      <c r="K2" t="s">
        <v>364</v>
      </c>
      <c r="L2" t="s">
        <v>7</v>
      </c>
      <c r="M2" s="5">
        <v>9.0759753593429152E-2</v>
      </c>
      <c r="N2">
        <f>Posts_1[[#This Row],[Likes]]+Posts_1[[#This Row],[Shares]]+Posts_1[[#This Row],[Comments]]</f>
        <v>1989</v>
      </c>
    </row>
    <row r="3" spans="1:14" x14ac:dyDescent="0.35">
      <c r="A3" t="s">
        <v>156</v>
      </c>
      <c r="B3" t="s">
        <v>32</v>
      </c>
      <c r="C3" s="1">
        <v>45750</v>
      </c>
      <c r="D3" t="s">
        <v>54</v>
      </c>
      <c r="E3">
        <v>4054</v>
      </c>
      <c r="F3">
        <v>389</v>
      </c>
      <c r="G3">
        <v>493</v>
      </c>
      <c r="H3">
        <v>64864</v>
      </c>
      <c r="I3">
        <v>64383</v>
      </c>
      <c r="J3">
        <v>117</v>
      </c>
      <c r="K3" t="s">
        <v>365</v>
      </c>
      <c r="L3" t="s">
        <v>11</v>
      </c>
      <c r="M3" s="5">
        <v>7.6097681302417369E-2</v>
      </c>
      <c r="N3">
        <f>Posts_1[[#This Row],[Likes]]+Posts_1[[#This Row],[Shares]]+Posts_1[[#This Row],[Comments]]</f>
        <v>4936</v>
      </c>
    </row>
    <row r="4" spans="1:14" x14ac:dyDescent="0.35">
      <c r="A4" t="s">
        <v>159</v>
      </c>
      <c r="B4" t="s">
        <v>33</v>
      </c>
      <c r="C4" s="1">
        <v>45789</v>
      </c>
      <c r="D4" t="s">
        <v>48</v>
      </c>
      <c r="E4">
        <v>2795</v>
      </c>
      <c r="F4">
        <v>105</v>
      </c>
      <c r="G4">
        <v>49</v>
      </c>
      <c r="H4">
        <v>53105</v>
      </c>
      <c r="I4">
        <v>52307</v>
      </c>
      <c r="J4">
        <v>204</v>
      </c>
      <c r="K4" t="s">
        <v>157</v>
      </c>
      <c r="L4" t="s">
        <v>15</v>
      </c>
      <c r="M4" s="5">
        <v>5.5531494209584788E-2</v>
      </c>
      <c r="N4">
        <f>Posts_1[[#This Row],[Likes]]+Posts_1[[#This Row],[Shares]]+Posts_1[[#This Row],[Comments]]</f>
        <v>2949</v>
      </c>
    </row>
    <row r="5" spans="1:14" x14ac:dyDescent="0.35">
      <c r="A5" t="s">
        <v>44</v>
      </c>
      <c r="B5" t="s">
        <v>30</v>
      </c>
      <c r="C5" s="1">
        <v>45516</v>
      </c>
      <c r="D5" t="s">
        <v>45</v>
      </c>
      <c r="E5">
        <v>2404</v>
      </c>
      <c r="F5">
        <v>363</v>
      </c>
      <c r="G5">
        <v>138</v>
      </c>
      <c r="H5">
        <v>19232</v>
      </c>
      <c r="I5">
        <v>18636</v>
      </c>
      <c r="J5">
        <v>128</v>
      </c>
      <c r="K5" t="s">
        <v>46</v>
      </c>
      <c r="L5" t="s">
        <v>19</v>
      </c>
      <c r="M5" s="5">
        <v>0.15105033277870217</v>
      </c>
      <c r="N5">
        <f>Posts_1[[#This Row],[Likes]]+Posts_1[[#This Row],[Shares]]+Posts_1[[#This Row],[Comments]]</f>
        <v>2905</v>
      </c>
    </row>
    <row r="6" spans="1:14" x14ac:dyDescent="0.35">
      <c r="A6" t="s">
        <v>47</v>
      </c>
      <c r="B6" t="s">
        <v>33</v>
      </c>
      <c r="C6" s="1">
        <v>45469</v>
      </c>
      <c r="D6" t="s">
        <v>48</v>
      </c>
      <c r="E6">
        <v>3557</v>
      </c>
      <c r="F6">
        <v>687</v>
      </c>
      <c r="G6">
        <v>424</v>
      </c>
      <c r="H6">
        <v>71140</v>
      </c>
      <c r="I6">
        <v>70701</v>
      </c>
      <c r="J6">
        <v>224</v>
      </c>
      <c r="K6" t="s">
        <v>10</v>
      </c>
      <c r="L6" t="s">
        <v>7</v>
      </c>
      <c r="M6" s="5">
        <v>6.5617093055946027E-2</v>
      </c>
      <c r="N6">
        <f>Posts_1[[#This Row],[Likes]]+Posts_1[[#This Row],[Shares]]+Posts_1[[#This Row],[Comments]]</f>
        <v>4668</v>
      </c>
    </row>
    <row r="7" spans="1:14" x14ac:dyDescent="0.35">
      <c r="A7" t="s">
        <v>160</v>
      </c>
      <c r="B7" t="s">
        <v>31</v>
      </c>
      <c r="C7" s="1">
        <v>45596</v>
      </c>
      <c r="D7" t="s">
        <v>52</v>
      </c>
      <c r="E7">
        <v>2945</v>
      </c>
      <c r="F7">
        <v>930</v>
      </c>
      <c r="G7">
        <v>355</v>
      </c>
      <c r="H7">
        <v>23560</v>
      </c>
      <c r="I7">
        <v>23275</v>
      </c>
      <c r="J7">
        <v>256</v>
      </c>
      <c r="K7" t="s">
        <v>157</v>
      </c>
      <c r="L7" t="s">
        <v>11</v>
      </c>
      <c r="M7" s="5">
        <v>0.17954159592529711</v>
      </c>
      <c r="N7">
        <f>Posts_1[[#This Row],[Likes]]+Posts_1[[#This Row],[Shares]]+Posts_1[[#This Row],[Comments]]</f>
        <v>4230</v>
      </c>
    </row>
    <row r="8" spans="1:14" x14ac:dyDescent="0.35">
      <c r="A8" t="s">
        <v>161</v>
      </c>
      <c r="B8" t="s">
        <v>32</v>
      </c>
      <c r="C8" s="1">
        <v>45467</v>
      </c>
      <c r="D8" t="s">
        <v>52</v>
      </c>
      <c r="E8">
        <v>3860</v>
      </c>
      <c r="F8">
        <v>201</v>
      </c>
      <c r="G8">
        <v>279</v>
      </c>
      <c r="H8">
        <v>61760</v>
      </c>
      <c r="I8">
        <v>61660</v>
      </c>
      <c r="J8">
        <v>235</v>
      </c>
      <c r="K8" t="s">
        <v>157</v>
      </c>
      <c r="L8" t="s">
        <v>11</v>
      </c>
      <c r="M8" s="5">
        <v>7.0272020725388601E-2</v>
      </c>
      <c r="N8">
        <f>Posts_1[[#This Row],[Likes]]+Posts_1[[#This Row],[Shares]]+Posts_1[[#This Row],[Comments]]</f>
        <v>4340</v>
      </c>
    </row>
    <row r="9" spans="1:14" x14ac:dyDescent="0.35">
      <c r="A9" t="s">
        <v>49</v>
      </c>
      <c r="B9" t="s">
        <v>33</v>
      </c>
      <c r="C9" s="1">
        <v>45486</v>
      </c>
      <c r="D9" t="s">
        <v>50</v>
      </c>
      <c r="E9">
        <v>3929</v>
      </c>
      <c r="F9">
        <v>262</v>
      </c>
      <c r="G9">
        <v>278</v>
      </c>
      <c r="H9">
        <v>43219</v>
      </c>
      <c r="I9">
        <v>42841</v>
      </c>
      <c r="J9">
        <v>39</v>
      </c>
      <c r="K9" t="s">
        <v>46</v>
      </c>
      <c r="L9" t="s">
        <v>19</v>
      </c>
      <c r="M9" s="5">
        <v>0.10340359564080613</v>
      </c>
      <c r="N9">
        <f>Posts_1[[#This Row],[Likes]]+Posts_1[[#This Row],[Shares]]+Posts_1[[#This Row],[Comments]]</f>
        <v>4469</v>
      </c>
    </row>
    <row r="10" spans="1:14" x14ac:dyDescent="0.35">
      <c r="A10" t="s">
        <v>162</v>
      </c>
      <c r="B10" t="s">
        <v>31</v>
      </c>
      <c r="C10" s="1">
        <v>45534</v>
      </c>
      <c r="D10" t="s">
        <v>54</v>
      </c>
      <c r="E10">
        <v>3784</v>
      </c>
      <c r="F10">
        <v>808</v>
      </c>
      <c r="G10">
        <v>404</v>
      </c>
      <c r="H10">
        <v>56760</v>
      </c>
      <c r="I10">
        <v>56343</v>
      </c>
      <c r="J10">
        <v>131</v>
      </c>
      <c r="K10" t="s">
        <v>157</v>
      </c>
      <c r="L10" t="s">
        <v>11</v>
      </c>
      <c r="M10" s="5">
        <v>8.8019732205778717E-2</v>
      </c>
      <c r="N10">
        <f>Posts_1[[#This Row],[Likes]]+Posts_1[[#This Row],[Shares]]+Posts_1[[#This Row],[Comments]]</f>
        <v>4996</v>
      </c>
    </row>
    <row r="11" spans="1:14" x14ac:dyDescent="0.35">
      <c r="A11" t="s">
        <v>163</v>
      </c>
      <c r="B11" t="s">
        <v>31</v>
      </c>
      <c r="C11" s="1">
        <v>45727</v>
      </c>
      <c r="D11" t="s">
        <v>50</v>
      </c>
      <c r="E11">
        <v>4241</v>
      </c>
      <c r="F11">
        <v>902</v>
      </c>
      <c r="G11">
        <v>47</v>
      </c>
      <c r="H11">
        <v>72097</v>
      </c>
      <c r="I11">
        <v>71598</v>
      </c>
      <c r="J11">
        <v>167</v>
      </c>
      <c r="K11" t="s">
        <v>157</v>
      </c>
      <c r="L11" t="s">
        <v>11</v>
      </c>
      <c r="M11" s="5">
        <v>7.198635172059864E-2</v>
      </c>
      <c r="N11">
        <f>Posts_1[[#This Row],[Likes]]+Posts_1[[#This Row],[Shares]]+Posts_1[[#This Row],[Comments]]</f>
        <v>5190</v>
      </c>
    </row>
    <row r="12" spans="1:14" x14ac:dyDescent="0.35">
      <c r="A12" t="s">
        <v>164</v>
      </c>
      <c r="B12" t="s">
        <v>30</v>
      </c>
      <c r="C12" s="1">
        <v>45690</v>
      </c>
      <c r="D12" t="s">
        <v>45</v>
      </c>
      <c r="E12">
        <v>1792</v>
      </c>
      <c r="F12">
        <v>614</v>
      </c>
      <c r="G12">
        <v>497</v>
      </c>
      <c r="H12">
        <v>25088</v>
      </c>
      <c r="I12">
        <v>24675</v>
      </c>
      <c r="J12">
        <v>65</v>
      </c>
      <c r="K12" t="s">
        <v>154</v>
      </c>
      <c r="L12" t="s">
        <v>19</v>
      </c>
      <c r="M12" s="5">
        <v>0.11571269132653061</v>
      </c>
      <c r="N12">
        <f>Posts_1[[#This Row],[Likes]]+Posts_1[[#This Row],[Shares]]+Posts_1[[#This Row],[Comments]]</f>
        <v>2903</v>
      </c>
    </row>
    <row r="13" spans="1:14" x14ac:dyDescent="0.35">
      <c r="A13" t="s">
        <v>165</v>
      </c>
      <c r="B13" t="s">
        <v>31</v>
      </c>
      <c r="C13" s="1">
        <v>45494</v>
      </c>
      <c r="D13" t="s">
        <v>48</v>
      </c>
      <c r="E13">
        <v>1946</v>
      </c>
      <c r="F13">
        <v>686</v>
      </c>
      <c r="G13">
        <v>377</v>
      </c>
      <c r="H13">
        <v>23352</v>
      </c>
      <c r="I13">
        <v>22982</v>
      </c>
      <c r="J13">
        <v>213</v>
      </c>
      <c r="K13" t="s">
        <v>154</v>
      </c>
      <c r="L13" t="s">
        <v>15</v>
      </c>
      <c r="M13" s="5">
        <v>0.12885405960945528</v>
      </c>
      <c r="N13">
        <f>Posts_1[[#This Row],[Likes]]+Posts_1[[#This Row],[Shares]]+Posts_1[[#This Row],[Comments]]</f>
        <v>3009</v>
      </c>
    </row>
    <row r="14" spans="1:14" x14ac:dyDescent="0.35">
      <c r="A14" t="s">
        <v>51</v>
      </c>
      <c r="B14" t="s">
        <v>33</v>
      </c>
      <c r="C14" s="1">
        <v>45614</v>
      </c>
      <c r="D14" t="s">
        <v>52</v>
      </c>
      <c r="E14">
        <v>1171</v>
      </c>
      <c r="F14">
        <v>286</v>
      </c>
      <c r="G14">
        <v>231</v>
      </c>
      <c r="H14">
        <v>22249</v>
      </c>
      <c r="I14">
        <v>21282</v>
      </c>
      <c r="J14">
        <v>114</v>
      </c>
      <c r="K14" t="s">
        <v>46</v>
      </c>
      <c r="L14" t="s">
        <v>7</v>
      </c>
      <c r="M14" s="5">
        <v>7.5868578363072495E-2</v>
      </c>
      <c r="N14">
        <f>Posts_1[[#This Row],[Likes]]+Posts_1[[#This Row],[Shares]]+Posts_1[[#This Row],[Comments]]</f>
        <v>1688</v>
      </c>
    </row>
    <row r="15" spans="1:14" x14ac:dyDescent="0.35">
      <c r="A15" t="s">
        <v>166</v>
      </c>
      <c r="B15" t="s">
        <v>31</v>
      </c>
      <c r="C15" s="1">
        <v>45704</v>
      </c>
      <c r="D15" t="s">
        <v>45</v>
      </c>
      <c r="E15">
        <v>4242</v>
      </c>
      <c r="F15">
        <v>555</v>
      </c>
      <c r="G15">
        <v>131</v>
      </c>
      <c r="H15">
        <v>33936</v>
      </c>
      <c r="I15">
        <v>33802</v>
      </c>
      <c r="J15">
        <v>265</v>
      </c>
      <c r="K15" t="s">
        <v>154</v>
      </c>
      <c r="L15" t="s">
        <v>56</v>
      </c>
      <c r="M15" s="5">
        <v>0.14521452145214522</v>
      </c>
      <c r="N15">
        <f>Posts_1[[#This Row],[Likes]]+Posts_1[[#This Row],[Shares]]+Posts_1[[#This Row],[Comments]]</f>
        <v>4928</v>
      </c>
    </row>
    <row r="16" spans="1:14" x14ac:dyDescent="0.35">
      <c r="A16" t="s">
        <v>167</v>
      </c>
      <c r="B16" t="s">
        <v>31</v>
      </c>
      <c r="C16" s="1">
        <v>45589</v>
      </c>
      <c r="D16" t="s">
        <v>58</v>
      </c>
      <c r="E16">
        <v>3888</v>
      </c>
      <c r="F16">
        <v>604</v>
      </c>
      <c r="G16">
        <v>128</v>
      </c>
      <c r="H16">
        <v>77760</v>
      </c>
      <c r="I16">
        <v>77167</v>
      </c>
      <c r="J16">
        <v>20</v>
      </c>
      <c r="K16" t="s">
        <v>154</v>
      </c>
      <c r="L16" t="s">
        <v>7</v>
      </c>
      <c r="M16" s="5">
        <v>5.941358024691358E-2</v>
      </c>
      <c r="N16">
        <f>Posts_1[[#This Row],[Likes]]+Posts_1[[#This Row],[Shares]]+Posts_1[[#This Row],[Comments]]</f>
        <v>4620</v>
      </c>
    </row>
    <row r="17" spans="1:14" x14ac:dyDescent="0.35">
      <c r="A17" t="s">
        <v>168</v>
      </c>
      <c r="B17" t="s">
        <v>31</v>
      </c>
      <c r="C17" s="1">
        <v>45530</v>
      </c>
      <c r="D17" t="s">
        <v>54</v>
      </c>
      <c r="E17">
        <v>3452</v>
      </c>
      <c r="F17">
        <v>377</v>
      </c>
      <c r="G17">
        <v>360</v>
      </c>
      <c r="H17">
        <v>55232</v>
      </c>
      <c r="I17">
        <v>55075</v>
      </c>
      <c r="J17">
        <v>87</v>
      </c>
      <c r="K17" t="s">
        <v>154</v>
      </c>
      <c r="L17" t="s">
        <v>15</v>
      </c>
      <c r="M17" s="5">
        <v>7.5843713789107758E-2</v>
      </c>
      <c r="N17">
        <f>Posts_1[[#This Row],[Likes]]+Posts_1[[#This Row],[Shares]]+Posts_1[[#This Row],[Comments]]</f>
        <v>4189</v>
      </c>
    </row>
    <row r="18" spans="1:14" x14ac:dyDescent="0.35">
      <c r="A18" t="s">
        <v>53</v>
      </c>
      <c r="B18" t="s">
        <v>31</v>
      </c>
      <c r="C18" s="1">
        <v>45782</v>
      </c>
      <c r="D18" t="s">
        <v>54</v>
      </c>
      <c r="E18">
        <v>4441</v>
      </c>
      <c r="F18">
        <v>511</v>
      </c>
      <c r="G18">
        <v>70</v>
      </c>
      <c r="H18">
        <v>53292</v>
      </c>
      <c r="I18">
        <v>53082</v>
      </c>
      <c r="J18">
        <v>159</v>
      </c>
      <c r="K18" t="s">
        <v>46</v>
      </c>
      <c r="L18" t="s">
        <v>19</v>
      </c>
      <c r="M18" s="5">
        <v>9.4235532537716729E-2</v>
      </c>
      <c r="N18">
        <f>Posts_1[[#This Row],[Likes]]+Posts_1[[#This Row],[Shares]]+Posts_1[[#This Row],[Comments]]</f>
        <v>5022</v>
      </c>
    </row>
    <row r="19" spans="1:14" x14ac:dyDescent="0.35">
      <c r="A19" t="s">
        <v>169</v>
      </c>
      <c r="B19" t="s">
        <v>30</v>
      </c>
      <c r="C19" s="1">
        <v>45523</v>
      </c>
      <c r="D19" t="s">
        <v>48</v>
      </c>
      <c r="E19">
        <v>3000</v>
      </c>
      <c r="F19">
        <v>382</v>
      </c>
      <c r="G19">
        <v>325</v>
      </c>
      <c r="H19">
        <v>36000</v>
      </c>
      <c r="I19">
        <v>35819</v>
      </c>
      <c r="J19">
        <v>19</v>
      </c>
      <c r="K19" t="s">
        <v>154</v>
      </c>
      <c r="L19" t="s">
        <v>7</v>
      </c>
      <c r="M19" s="5">
        <v>0.10297222222222223</v>
      </c>
      <c r="N19">
        <f>Posts_1[[#This Row],[Likes]]+Posts_1[[#This Row],[Shares]]+Posts_1[[#This Row],[Comments]]</f>
        <v>3707</v>
      </c>
    </row>
    <row r="20" spans="1:14" x14ac:dyDescent="0.35">
      <c r="A20" t="s">
        <v>170</v>
      </c>
      <c r="B20" t="s">
        <v>30</v>
      </c>
      <c r="C20" s="1">
        <v>45466</v>
      </c>
      <c r="D20" t="s">
        <v>58</v>
      </c>
      <c r="E20">
        <v>1071</v>
      </c>
      <c r="F20">
        <v>519</v>
      </c>
      <c r="G20">
        <v>22</v>
      </c>
      <c r="H20">
        <v>16065</v>
      </c>
      <c r="I20">
        <v>15865</v>
      </c>
      <c r="J20">
        <v>103</v>
      </c>
      <c r="K20" t="s">
        <v>157</v>
      </c>
      <c r="L20" t="s">
        <v>19</v>
      </c>
      <c r="M20" s="5">
        <v>0.10034235916588857</v>
      </c>
      <c r="N20">
        <f>Posts_1[[#This Row],[Likes]]+Posts_1[[#This Row],[Shares]]+Posts_1[[#This Row],[Comments]]</f>
        <v>1612</v>
      </c>
    </row>
    <row r="21" spans="1:14" x14ac:dyDescent="0.35">
      <c r="A21" t="s">
        <v>171</v>
      </c>
      <c r="B21" t="s">
        <v>30</v>
      </c>
      <c r="C21" s="1">
        <v>45544</v>
      </c>
      <c r="D21" t="s">
        <v>52</v>
      </c>
      <c r="E21">
        <v>4054</v>
      </c>
      <c r="F21">
        <v>488</v>
      </c>
      <c r="G21">
        <v>373</v>
      </c>
      <c r="H21">
        <v>77026</v>
      </c>
      <c r="I21">
        <v>76881</v>
      </c>
      <c r="J21">
        <v>25</v>
      </c>
      <c r="K21" t="s">
        <v>157</v>
      </c>
      <c r="L21" t="s">
        <v>7</v>
      </c>
      <c r="M21" s="5">
        <v>6.3809622724794221E-2</v>
      </c>
      <c r="N21">
        <f>Posts_1[[#This Row],[Likes]]+Posts_1[[#This Row],[Shares]]+Posts_1[[#This Row],[Comments]]</f>
        <v>4915</v>
      </c>
    </row>
    <row r="22" spans="1:14" x14ac:dyDescent="0.35">
      <c r="A22" t="s">
        <v>172</v>
      </c>
      <c r="B22" t="s">
        <v>30</v>
      </c>
      <c r="C22" s="1">
        <v>45661</v>
      </c>
      <c r="D22" t="s">
        <v>48</v>
      </c>
      <c r="E22">
        <v>4838</v>
      </c>
      <c r="F22">
        <v>640</v>
      </c>
      <c r="G22">
        <v>128</v>
      </c>
      <c r="H22">
        <v>72570</v>
      </c>
      <c r="I22">
        <v>72396</v>
      </c>
      <c r="J22">
        <v>83</v>
      </c>
      <c r="K22" t="s">
        <v>154</v>
      </c>
      <c r="L22" t="s">
        <v>19</v>
      </c>
      <c r="M22" s="5">
        <v>7.7249552156538517E-2</v>
      </c>
      <c r="N22">
        <f>Posts_1[[#This Row],[Likes]]+Posts_1[[#This Row],[Shares]]+Posts_1[[#This Row],[Comments]]</f>
        <v>5606</v>
      </c>
    </row>
    <row r="23" spans="1:14" x14ac:dyDescent="0.35">
      <c r="A23" t="s">
        <v>173</v>
      </c>
      <c r="B23" t="s">
        <v>31</v>
      </c>
      <c r="C23" s="1">
        <v>45715</v>
      </c>
      <c r="D23" t="s">
        <v>54</v>
      </c>
      <c r="E23">
        <v>1570</v>
      </c>
      <c r="F23">
        <v>187</v>
      </c>
      <c r="G23">
        <v>260</v>
      </c>
      <c r="H23">
        <v>25120</v>
      </c>
      <c r="I23">
        <v>24613</v>
      </c>
      <c r="J23">
        <v>133</v>
      </c>
      <c r="K23" t="s">
        <v>157</v>
      </c>
      <c r="L23" t="s">
        <v>19</v>
      </c>
      <c r="M23" s="5">
        <v>8.0294585987261149E-2</v>
      </c>
      <c r="N23">
        <f>Posts_1[[#This Row],[Likes]]+Posts_1[[#This Row],[Shares]]+Posts_1[[#This Row],[Comments]]</f>
        <v>2017</v>
      </c>
    </row>
    <row r="24" spans="1:14" x14ac:dyDescent="0.35">
      <c r="A24" t="s">
        <v>174</v>
      </c>
      <c r="B24" t="s">
        <v>31</v>
      </c>
      <c r="C24" s="1">
        <v>45602</v>
      </c>
      <c r="D24" t="s">
        <v>58</v>
      </c>
      <c r="E24">
        <v>1606</v>
      </c>
      <c r="F24">
        <v>547</v>
      </c>
      <c r="G24">
        <v>316</v>
      </c>
      <c r="H24">
        <v>32120</v>
      </c>
      <c r="I24">
        <v>31736</v>
      </c>
      <c r="J24">
        <v>225</v>
      </c>
      <c r="K24" t="s">
        <v>366</v>
      </c>
      <c r="L24" t="s">
        <v>11</v>
      </c>
      <c r="M24" s="5">
        <v>7.6867995018679955E-2</v>
      </c>
      <c r="N24">
        <f>Posts_1[[#This Row],[Likes]]+Posts_1[[#This Row],[Shares]]+Posts_1[[#This Row],[Comments]]</f>
        <v>2469</v>
      </c>
    </row>
    <row r="25" spans="1:14" x14ac:dyDescent="0.35">
      <c r="A25" t="s">
        <v>175</v>
      </c>
      <c r="B25" t="s">
        <v>31</v>
      </c>
      <c r="C25" s="1">
        <v>45680</v>
      </c>
      <c r="D25" t="s">
        <v>58</v>
      </c>
      <c r="E25">
        <v>3961</v>
      </c>
      <c r="F25">
        <v>761</v>
      </c>
      <c r="G25">
        <v>131</v>
      </c>
      <c r="H25">
        <v>67337</v>
      </c>
      <c r="I25">
        <v>66615</v>
      </c>
      <c r="J25">
        <v>161</v>
      </c>
      <c r="K25" t="s">
        <v>154</v>
      </c>
      <c r="L25" t="s">
        <v>15</v>
      </c>
      <c r="M25" s="5">
        <v>7.2070332803659209E-2</v>
      </c>
      <c r="N25">
        <f>Posts_1[[#This Row],[Likes]]+Posts_1[[#This Row],[Shares]]+Posts_1[[#This Row],[Comments]]</f>
        <v>4853</v>
      </c>
    </row>
    <row r="26" spans="1:14" x14ac:dyDescent="0.35">
      <c r="A26" t="s">
        <v>55</v>
      </c>
      <c r="B26" t="s">
        <v>32</v>
      </c>
      <c r="C26" s="1">
        <v>45757</v>
      </c>
      <c r="D26" t="s">
        <v>52</v>
      </c>
      <c r="E26">
        <v>3128</v>
      </c>
      <c r="F26">
        <v>211</v>
      </c>
      <c r="G26">
        <v>197</v>
      </c>
      <c r="H26">
        <v>59432</v>
      </c>
      <c r="I26">
        <v>59182</v>
      </c>
      <c r="J26">
        <v>238</v>
      </c>
      <c r="K26" t="s">
        <v>46</v>
      </c>
      <c r="L26" t="s">
        <v>56</v>
      </c>
      <c r="M26" s="5">
        <v>5.9496567505720827E-2</v>
      </c>
      <c r="N26">
        <f>Posts_1[[#This Row],[Likes]]+Posts_1[[#This Row],[Shares]]+Posts_1[[#This Row],[Comments]]</f>
        <v>3536</v>
      </c>
    </row>
    <row r="27" spans="1:14" x14ac:dyDescent="0.35">
      <c r="A27" t="s">
        <v>176</v>
      </c>
      <c r="B27" t="s">
        <v>33</v>
      </c>
      <c r="C27" s="1">
        <v>45752</v>
      </c>
      <c r="D27" t="s">
        <v>48</v>
      </c>
      <c r="E27">
        <v>3009</v>
      </c>
      <c r="F27">
        <v>413</v>
      </c>
      <c r="G27">
        <v>358</v>
      </c>
      <c r="H27">
        <v>42126</v>
      </c>
      <c r="I27">
        <v>41309</v>
      </c>
      <c r="J27">
        <v>211</v>
      </c>
      <c r="K27" t="s">
        <v>154</v>
      </c>
      <c r="L27" t="s">
        <v>11</v>
      </c>
      <c r="M27" s="5">
        <v>8.9730807577268201E-2</v>
      </c>
      <c r="N27">
        <f>Posts_1[[#This Row],[Likes]]+Posts_1[[#This Row],[Shares]]+Posts_1[[#This Row],[Comments]]</f>
        <v>3780</v>
      </c>
    </row>
    <row r="28" spans="1:14" x14ac:dyDescent="0.35">
      <c r="A28" t="s">
        <v>177</v>
      </c>
      <c r="B28" t="s">
        <v>33</v>
      </c>
      <c r="C28" s="1">
        <v>45552</v>
      </c>
      <c r="D28" t="s">
        <v>54</v>
      </c>
      <c r="E28">
        <v>2076</v>
      </c>
      <c r="F28">
        <v>195</v>
      </c>
      <c r="G28">
        <v>104</v>
      </c>
      <c r="H28">
        <v>33216</v>
      </c>
      <c r="I28">
        <v>32244</v>
      </c>
      <c r="J28">
        <v>51</v>
      </c>
      <c r="K28" t="s">
        <v>154</v>
      </c>
      <c r="L28" t="s">
        <v>19</v>
      </c>
      <c r="M28" s="5">
        <v>7.1501685934489398E-2</v>
      </c>
      <c r="N28">
        <f>Posts_1[[#This Row],[Likes]]+Posts_1[[#This Row],[Shares]]+Posts_1[[#This Row],[Comments]]</f>
        <v>2375</v>
      </c>
    </row>
    <row r="29" spans="1:14" x14ac:dyDescent="0.35">
      <c r="A29" t="s">
        <v>178</v>
      </c>
      <c r="B29" t="s">
        <v>30</v>
      </c>
      <c r="C29" s="1">
        <v>45720</v>
      </c>
      <c r="D29" t="s">
        <v>58</v>
      </c>
      <c r="E29">
        <v>432</v>
      </c>
      <c r="F29">
        <v>624</v>
      </c>
      <c r="G29">
        <v>123</v>
      </c>
      <c r="H29">
        <v>6912</v>
      </c>
      <c r="I29">
        <v>6259</v>
      </c>
      <c r="J29">
        <v>79</v>
      </c>
      <c r="K29" t="s">
        <v>154</v>
      </c>
      <c r="L29" t="s">
        <v>19</v>
      </c>
      <c r="M29" s="5">
        <v>0.17057291666666666</v>
      </c>
      <c r="N29">
        <f>Posts_1[[#This Row],[Likes]]+Posts_1[[#This Row],[Shares]]+Posts_1[[#This Row],[Comments]]</f>
        <v>1179</v>
      </c>
    </row>
    <row r="30" spans="1:14" x14ac:dyDescent="0.35">
      <c r="A30" t="s">
        <v>179</v>
      </c>
      <c r="B30" t="s">
        <v>30</v>
      </c>
      <c r="C30" s="1">
        <v>45688</v>
      </c>
      <c r="D30" t="s">
        <v>52</v>
      </c>
      <c r="E30">
        <v>2566</v>
      </c>
      <c r="F30">
        <v>118</v>
      </c>
      <c r="G30">
        <v>37</v>
      </c>
      <c r="H30">
        <v>12830</v>
      </c>
      <c r="I30">
        <v>12264</v>
      </c>
      <c r="J30">
        <v>221</v>
      </c>
      <c r="K30" t="s">
        <v>154</v>
      </c>
      <c r="L30" t="s">
        <v>15</v>
      </c>
      <c r="M30" s="5">
        <v>0.21208106001558846</v>
      </c>
      <c r="N30">
        <f>Posts_1[[#This Row],[Likes]]+Posts_1[[#This Row],[Shares]]+Posts_1[[#This Row],[Comments]]</f>
        <v>2721</v>
      </c>
    </row>
    <row r="31" spans="1:14" x14ac:dyDescent="0.35">
      <c r="A31" t="s">
        <v>57</v>
      </c>
      <c r="B31" t="s">
        <v>30</v>
      </c>
      <c r="C31" s="1">
        <v>45713</v>
      </c>
      <c r="D31" t="s">
        <v>58</v>
      </c>
      <c r="E31">
        <v>3095</v>
      </c>
      <c r="F31">
        <v>39</v>
      </c>
      <c r="G31">
        <v>78</v>
      </c>
      <c r="H31">
        <v>55710</v>
      </c>
      <c r="I31">
        <v>54808</v>
      </c>
      <c r="J31">
        <v>93</v>
      </c>
      <c r="K31" t="s">
        <v>46</v>
      </c>
      <c r="L31" t="s">
        <v>56</v>
      </c>
      <c r="M31" s="5">
        <v>5.7655717106444085E-2</v>
      </c>
      <c r="N31">
        <f>Posts_1[[#This Row],[Likes]]+Posts_1[[#This Row],[Shares]]+Posts_1[[#This Row],[Comments]]</f>
        <v>3212</v>
      </c>
    </row>
    <row r="32" spans="1:14" x14ac:dyDescent="0.35">
      <c r="A32" t="s">
        <v>180</v>
      </c>
      <c r="B32" t="s">
        <v>30</v>
      </c>
      <c r="C32" s="1">
        <v>45642</v>
      </c>
      <c r="D32" t="s">
        <v>54</v>
      </c>
      <c r="E32">
        <v>438</v>
      </c>
      <c r="F32">
        <v>153</v>
      </c>
      <c r="G32">
        <v>275</v>
      </c>
      <c r="H32">
        <v>3066</v>
      </c>
      <c r="I32">
        <v>2701</v>
      </c>
      <c r="J32">
        <v>282</v>
      </c>
      <c r="K32" t="s">
        <v>157</v>
      </c>
      <c r="L32" t="s">
        <v>11</v>
      </c>
      <c r="M32" s="5">
        <v>0.28245270711024134</v>
      </c>
      <c r="N32">
        <f>Posts_1[[#This Row],[Likes]]+Posts_1[[#This Row],[Shares]]+Posts_1[[#This Row],[Comments]]</f>
        <v>866</v>
      </c>
    </row>
    <row r="33" spans="1:14" x14ac:dyDescent="0.35">
      <c r="A33" t="s">
        <v>59</v>
      </c>
      <c r="B33" t="s">
        <v>32</v>
      </c>
      <c r="C33" s="1">
        <v>45504</v>
      </c>
      <c r="D33" t="s">
        <v>52</v>
      </c>
      <c r="E33">
        <v>2278</v>
      </c>
      <c r="F33">
        <v>10</v>
      </c>
      <c r="G33">
        <v>321</v>
      </c>
      <c r="H33">
        <v>13668</v>
      </c>
      <c r="I33">
        <v>12676</v>
      </c>
      <c r="J33">
        <v>275</v>
      </c>
      <c r="K33" t="s">
        <v>46</v>
      </c>
      <c r="L33" t="s">
        <v>7</v>
      </c>
      <c r="M33" s="5">
        <v>0.19088381621305239</v>
      </c>
      <c r="N33">
        <f>Posts_1[[#This Row],[Likes]]+Posts_1[[#This Row],[Shares]]+Posts_1[[#This Row],[Comments]]</f>
        <v>2609</v>
      </c>
    </row>
    <row r="34" spans="1:14" x14ac:dyDescent="0.35">
      <c r="A34" t="s">
        <v>181</v>
      </c>
      <c r="B34" t="s">
        <v>31</v>
      </c>
      <c r="C34" s="1">
        <v>45525</v>
      </c>
      <c r="D34" t="s">
        <v>50</v>
      </c>
      <c r="E34">
        <v>1407</v>
      </c>
      <c r="F34">
        <v>400</v>
      </c>
      <c r="G34">
        <v>351</v>
      </c>
      <c r="H34">
        <v>16884</v>
      </c>
      <c r="I34">
        <v>15954</v>
      </c>
      <c r="J34">
        <v>113</v>
      </c>
      <c r="K34" t="s">
        <v>157</v>
      </c>
      <c r="L34" t="s">
        <v>7</v>
      </c>
      <c r="M34" s="5">
        <v>0.12781331438047855</v>
      </c>
      <c r="N34">
        <f>Posts_1[[#This Row],[Likes]]+Posts_1[[#This Row],[Shares]]+Posts_1[[#This Row],[Comments]]</f>
        <v>2158</v>
      </c>
    </row>
    <row r="35" spans="1:14" x14ac:dyDescent="0.35">
      <c r="A35" t="s">
        <v>182</v>
      </c>
      <c r="B35" t="s">
        <v>31</v>
      </c>
      <c r="C35" s="1">
        <v>45742</v>
      </c>
      <c r="D35" t="s">
        <v>54</v>
      </c>
      <c r="E35">
        <v>1652</v>
      </c>
      <c r="F35">
        <v>89</v>
      </c>
      <c r="G35">
        <v>357</v>
      </c>
      <c r="H35">
        <v>29736</v>
      </c>
      <c r="I35">
        <v>28771</v>
      </c>
      <c r="J35">
        <v>215</v>
      </c>
      <c r="K35" t="s">
        <v>157</v>
      </c>
      <c r="L35" t="s">
        <v>15</v>
      </c>
      <c r="M35" s="5">
        <v>7.055421038471886E-2</v>
      </c>
      <c r="N35">
        <f>Posts_1[[#This Row],[Likes]]+Posts_1[[#This Row],[Shares]]+Posts_1[[#This Row],[Comments]]</f>
        <v>2098</v>
      </c>
    </row>
    <row r="36" spans="1:14" x14ac:dyDescent="0.35">
      <c r="A36" t="s">
        <v>183</v>
      </c>
      <c r="B36" t="s">
        <v>30</v>
      </c>
      <c r="C36" s="1">
        <v>45626</v>
      </c>
      <c r="D36" t="s">
        <v>58</v>
      </c>
      <c r="E36">
        <v>3775</v>
      </c>
      <c r="F36">
        <v>16</v>
      </c>
      <c r="G36">
        <v>239</v>
      </c>
      <c r="H36">
        <v>33975</v>
      </c>
      <c r="I36">
        <v>33310</v>
      </c>
      <c r="J36">
        <v>271</v>
      </c>
      <c r="K36" t="s">
        <v>154</v>
      </c>
      <c r="L36" t="s">
        <v>11</v>
      </c>
      <c r="M36" s="5">
        <v>0.11861662987490802</v>
      </c>
      <c r="N36">
        <f>Posts_1[[#This Row],[Likes]]+Posts_1[[#This Row],[Shares]]+Posts_1[[#This Row],[Comments]]</f>
        <v>4030</v>
      </c>
    </row>
    <row r="37" spans="1:14" x14ac:dyDescent="0.35">
      <c r="A37" t="s">
        <v>60</v>
      </c>
      <c r="B37" t="s">
        <v>30</v>
      </c>
      <c r="C37" s="1">
        <v>45766</v>
      </c>
      <c r="D37" t="s">
        <v>45</v>
      </c>
      <c r="E37">
        <v>4518</v>
      </c>
      <c r="F37">
        <v>285</v>
      </c>
      <c r="G37">
        <v>383</v>
      </c>
      <c r="H37">
        <v>67770</v>
      </c>
      <c r="I37">
        <v>67621</v>
      </c>
      <c r="J37">
        <v>31</v>
      </c>
      <c r="K37" t="s">
        <v>46</v>
      </c>
      <c r="L37" t="s">
        <v>11</v>
      </c>
      <c r="M37" s="5">
        <v>7.6523535487678915E-2</v>
      </c>
      <c r="N37">
        <f>Posts_1[[#This Row],[Likes]]+Posts_1[[#This Row],[Shares]]+Posts_1[[#This Row],[Comments]]</f>
        <v>5186</v>
      </c>
    </row>
    <row r="38" spans="1:14" x14ac:dyDescent="0.35">
      <c r="A38" t="s">
        <v>61</v>
      </c>
      <c r="B38" t="s">
        <v>31</v>
      </c>
      <c r="C38" s="1">
        <v>45663</v>
      </c>
      <c r="D38" t="s">
        <v>52</v>
      </c>
      <c r="E38">
        <v>3024</v>
      </c>
      <c r="F38">
        <v>925</v>
      </c>
      <c r="G38">
        <v>350</v>
      </c>
      <c r="H38">
        <v>24192</v>
      </c>
      <c r="I38">
        <v>23518</v>
      </c>
      <c r="J38">
        <v>36</v>
      </c>
      <c r="K38" t="s">
        <v>46</v>
      </c>
      <c r="L38" t="s">
        <v>11</v>
      </c>
      <c r="M38" s="5">
        <v>0.17770337301587302</v>
      </c>
      <c r="N38">
        <f>Posts_1[[#This Row],[Likes]]+Posts_1[[#This Row],[Shares]]+Posts_1[[#This Row],[Comments]]</f>
        <v>4299</v>
      </c>
    </row>
    <row r="39" spans="1:14" x14ac:dyDescent="0.35">
      <c r="A39" t="s">
        <v>184</v>
      </c>
      <c r="B39" t="s">
        <v>33</v>
      </c>
      <c r="C39" s="1">
        <v>45705</v>
      </c>
      <c r="D39" t="s">
        <v>48</v>
      </c>
      <c r="E39">
        <v>3138</v>
      </c>
      <c r="F39">
        <v>123</v>
      </c>
      <c r="G39">
        <v>291</v>
      </c>
      <c r="H39">
        <v>28242</v>
      </c>
      <c r="I39">
        <v>27550</v>
      </c>
      <c r="J39">
        <v>87</v>
      </c>
      <c r="K39" t="s">
        <v>157</v>
      </c>
      <c r="L39" t="s">
        <v>19</v>
      </c>
      <c r="M39" s="5">
        <v>0.12577012959422137</v>
      </c>
      <c r="N39">
        <f>Posts_1[[#This Row],[Likes]]+Posts_1[[#This Row],[Shares]]+Posts_1[[#This Row],[Comments]]</f>
        <v>3552</v>
      </c>
    </row>
    <row r="40" spans="1:14" x14ac:dyDescent="0.35">
      <c r="A40" t="s">
        <v>185</v>
      </c>
      <c r="B40" t="s">
        <v>31</v>
      </c>
      <c r="C40" s="1">
        <v>45621</v>
      </c>
      <c r="D40" t="s">
        <v>50</v>
      </c>
      <c r="E40">
        <v>3564</v>
      </c>
      <c r="F40">
        <v>629</v>
      </c>
      <c r="G40">
        <v>177</v>
      </c>
      <c r="H40">
        <v>60588</v>
      </c>
      <c r="I40">
        <v>59627</v>
      </c>
      <c r="J40">
        <v>92</v>
      </c>
      <c r="K40" t="s">
        <v>157</v>
      </c>
      <c r="L40" t="s">
        <v>56</v>
      </c>
      <c r="M40" s="5">
        <v>7.2126493695121141E-2</v>
      </c>
      <c r="N40">
        <f>Posts_1[[#This Row],[Likes]]+Posts_1[[#This Row],[Shares]]+Posts_1[[#This Row],[Comments]]</f>
        <v>4370</v>
      </c>
    </row>
    <row r="41" spans="1:14" x14ac:dyDescent="0.35">
      <c r="A41" t="s">
        <v>62</v>
      </c>
      <c r="B41" t="s">
        <v>32</v>
      </c>
      <c r="C41" s="1">
        <v>45723</v>
      </c>
      <c r="D41" t="s">
        <v>50</v>
      </c>
      <c r="E41">
        <v>4750</v>
      </c>
      <c r="F41">
        <v>151</v>
      </c>
      <c r="G41">
        <v>415</v>
      </c>
      <c r="H41">
        <v>38000</v>
      </c>
      <c r="I41">
        <v>37792</v>
      </c>
      <c r="J41">
        <v>299</v>
      </c>
      <c r="K41" t="s">
        <v>46</v>
      </c>
      <c r="L41" t="s">
        <v>19</v>
      </c>
      <c r="M41" s="5">
        <v>0.13989473684210527</v>
      </c>
      <c r="N41">
        <f>Posts_1[[#This Row],[Likes]]+Posts_1[[#This Row],[Shares]]+Posts_1[[#This Row],[Comments]]</f>
        <v>5316</v>
      </c>
    </row>
    <row r="42" spans="1:14" x14ac:dyDescent="0.35">
      <c r="A42" t="s">
        <v>186</v>
      </c>
      <c r="B42" t="s">
        <v>30</v>
      </c>
      <c r="C42" s="1">
        <v>45724</v>
      </c>
      <c r="D42" t="s">
        <v>48</v>
      </c>
      <c r="E42">
        <v>456</v>
      </c>
      <c r="F42">
        <v>629</v>
      </c>
      <c r="G42">
        <v>428</v>
      </c>
      <c r="H42">
        <v>8208</v>
      </c>
      <c r="I42">
        <v>7377</v>
      </c>
      <c r="J42">
        <v>205</v>
      </c>
      <c r="K42" t="s">
        <v>154</v>
      </c>
      <c r="L42" t="s">
        <v>19</v>
      </c>
      <c r="M42" s="5">
        <v>0.18433235867446393</v>
      </c>
      <c r="N42">
        <f>Posts_1[[#This Row],[Likes]]+Posts_1[[#This Row],[Shares]]+Posts_1[[#This Row],[Comments]]</f>
        <v>1513</v>
      </c>
    </row>
    <row r="43" spans="1:14" x14ac:dyDescent="0.35">
      <c r="A43" t="s">
        <v>63</v>
      </c>
      <c r="B43" t="s">
        <v>33</v>
      </c>
      <c r="C43" s="1">
        <v>45721</v>
      </c>
      <c r="D43" t="s">
        <v>48</v>
      </c>
      <c r="E43">
        <v>1543</v>
      </c>
      <c r="F43">
        <v>820</v>
      </c>
      <c r="G43">
        <v>333</v>
      </c>
      <c r="H43">
        <v>12344</v>
      </c>
      <c r="I43">
        <v>11496</v>
      </c>
      <c r="J43">
        <v>241</v>
      </c>
      <c r="K43" t="s">
        <v>46</v>
      </c>
      <c r="L43" t="s">
        <v>56</v>
      </c>
      <c r="M43" s="5">
        <v>0.21840570317563188</v>
      </c>
      <c r="N43">
        <f>Posts_1[[#This Row],[Likes]]+Posts_1[[#This Row],[Shares]]+Posts_1[[#This Row],[Comments]]</f>
        <v>2696</v>
      </c>
    </row>
    <row r="44" spans="1:14" x14ac:dyDescent="0.35">
      <c r="A44" t="s">
        <v>187</v>
      </c>
      <c r="B44" t="s">
        <v>30</v>
      </c>
      <c r="C44" s="1">
        <v>45640</v>
      </c>
      <c r="D44" t="s">
        <v>52</v>
      </c>
      <c r="E44">
        <v>2174</v>
      </c>
      <c r="F44">
        <v>658</v>
      </c>
      <c r="G44">
        <v>15</v>
      </c>
      <c r="H44">
        <v>13044</v>
      </c>
      <c r="I44">
        <v>12206</v>
      </c>
      <c r="J44">
        <v>137</v>
      </c>
      <c r="K44" t="s">
        <v>157</v>
      </c>
      <c r="L44" t="s">
        <v>15</v>
      </c>
      <c r="M44" s="5">
        <v>0.21826126954921804</v>
      </c>
      <c r="N44">
        <f>Posts_1[[#This Row],[Likes]]+Posts_1[[#This Row],[Shares]]+Posts_1[[#This Row],[Comments]]</f>
        <v>2847</v>
      </c>
    </row>
    <row r="45" spans="1:14" x14ac:dyDescent="0.35">
      <c r="A45" t="s">
        <v>188</v>
      </c>
      <c r="B45" t="s">
        <v>32</v>
      </c>
      <c r="C45" s="1">
        <v>45718</v>
      </c>
      <c r="D45" t="s">
        <v>50</v>
      </c>
      <c r="E45">
        <v>2358</v>
      </c>
      <c r="F45">
        <v>784</v>
      </c>
      <c r="G45">
        <v>344</v>
      </c>
      <c r="H45">
        <v>35370</v>
      </c>
      <c r="I45">
        <v>34475</v>
      </c>
      <c r="J45">
        <v>216</v>
      </c>
      <c r="K45" t="s">
        <v>157</v>
      </c>
      <c r="L45" t="s">
        <v>56</v>
      </c>
      <c r="M45" s="5">
        <v>9.8558100084817649E-2</v>
      </c>
      <c r="N45">
        <f>Posts_1[[#This Row],[Likes]]+Posts_1[[#This Row],[Shares]]+Posts_1[[#This Row],[Comments]]</f>
        <v>3486</v>
      </c>
    </row>
    <row r="46" spans="1:14" x14ac:dyDescent="0.35">
      <c r="A46" t="s">
        <v>189</v>
      </c>
      <c r="B46" t="s">
        <v>31</v>
      </c>
      <c r="C46" s="1">
        <v>45597</v>
      </c>
      <c r="D46" t="s">
        <v>58</v>
      </c>
      <c r="E46">
        <v>3371</v>
      </c>
      <c r="F46">
        <v>106</v>
      </c>
      <c r="G46">
        <v>327</v>
      </c>
      <c r="H46">
        <v>50565</v>
      </c>
      <c r="I46">
        <v>49816</v>
      </c>
      <c r="J46">
        <v>176</v>
      </c>
      <c r="K46" t="s">
        <v>154</v>
      </c>
      <c r="L46" t="s">
        <v>7</v>
      </c>
      <c r="M46" s="5">
        <v>7.5229902106199939E-2</v>
      </c>
      <c r="N46">
        <f>Posts_1[[#This Row],[Likes]]+Posts_1[[#This Row],[Shares]]+Posts_1[[#This Row],[Comments]]</f>
        <v>3804</v>
      </c>
    </row>
    <row r="47" spans="1:14" x14ac:dyDescent="0.35">
      <c r="A47" t="s">
        <v>190</v>
      </c>
      <c r="B47" t="s">
        <v>32</v>
      </c>
      <c r="C47" s="1">
        <v>45779</v>
      </c>
      <c r="D47" t="s">
        <v>58</v>
      </c>
      <c r="E47">
        <v>1108</v>
      </c>
      <c r="F47">
        <v>177</v>
      </c>
      <c r="G47">
        <v>212</v>
      </c>
      <c r="H47">
        <v>8864</v>
      </c>
      <c r="I47">
        <v>8710</v>
      </c>
      <c r="J47">
        <v>97</v>
      </c>
      <c r="K47" t="s">
        <v>157</v>
      </c>
      <c r="L47" t="s">
        <v>19</v>
      </c>
      <c r="M47" s="5">
        <v>0.16888537906137185</v>
      </c>
      <c r="N47">
        <f>Posts_1[[#This Row],[Likes]]+Posts_1[[#This Row],[Shares]]+Posts_1[[#This Row],[Comments]]</f>
        <v>1497</v>
      </c>
    </row>
    <row r="48" spans="1:14" x14ac:dyDescent="0.35">
      <c r="A48" t="s">
        <v>191</v>
      </c>
      <c r="B48" t="s">
        <v>32</v>
      </c>
      <c r="C48" s="1">
        <v>45712</v>
      </c>
      <c r="D48" t="s">
        <v>52</v>
      </c>
      <c r="E48">
        <v>2704</v>
      </c>
      <c r="F48">
        <v>752</v>
      </c>
      <c r="G48">
        <v>153</v>
      </c>
      <c r="H48">
        <v>21632</v>
      </c>
      <c r="I48">
        <v>20792</v>
      </c>
      <c r="J48">
        <v>127</v>
      </c>
      <c r="K48" t="s">
        <v>154</v>
      </c>
      <c r="L48" t="s">
        <v>56</v>
      </c>
      <c r="M48" s="5">
        <v>0.16683616863905326</v>
      </c>
      <c r="N48">
        <f>Posts_1[[#This Row],[Likes]]+Posts_1[[#This Row],[Shares]]+Posts_1[[#This Row],[Comments]]</f>
        <v>3609</v>
      </c>
    </row>
    <row r="49" spans="1:14" x14ac:dyDescent="0.35">
      <c r="A49" t="s">
        <v>192</v>
      </c>
      <c r="B49" t="s">
        <v>32</v>
      </c>
      <c r="C49" s="1">
        <v>45727</v>
      </c>
      <c r="D49" t="s">
        <v>45</v>
      </c>
      <c r="E49">
        <v>1950</v>
      </c>
      <c r="F49">
        <v>295</v>
      </c>
      <c r="G49">
        <v>478</v>
      </c>
      <c r="H49">
        <v>37050</v>
      </c>
      <c r="I49">
        <v>36272</v>
      </c>
      <c r="J49">
        <v>119</v>
      </c>
      <c r="K49" t="s">
        <v>157</v>
      </c>
      <c r="L49" t="s">
        <v>56</v>
      </c>
      <c r="M49" s="5">
        <v>7.349527665317139E-2</v>
      </c>
      <c r="N49">
        <f>Posts_1[[#This Row],[Likes]]+Posts_1[[#This Row],[Shares]]+Posts_1[[#This Row],[Comments]]</f>
        <v>2723</v>
      </c>
    </row>
    <row r="50" spans="1:14" x14ac:dyDescent="0.35">
      <c r="A50" t="s">
        <v>193</v>
      </c>
      <c r="B50" t="s">
        <v>32</v>
      </c>
      <c r="C50" s="1">
        <v>45453</v>
      </c>
      <c r="D50" t="s">
        <v>45</v>
      </c>
      <c r="E50">
        <v>2164</v>
      </c>
      <c r="F50">
        <v>549</v>
      </c>
      <c r="G50">
        <v>274</v>
      </c>
      <c r="H50">
        <v>28132</v>
      </c>
      <c r="I50">
        <v>27361</v>
      </c>
      <c r="J50">
        <v>177</v>
      </c>
      <c r="K50" t="s">
        <v>157</v>
      </c>
      <c r="L50" t="s">
        <v>19</v>
      </c>
      <c r="M50" s="5">
        <v>0.10617801791554102</v>
      </c>
      <c r="N50">
        <f>Posts_1[[#This Row],[Likes]]+Posts_1[[#This Row],[Shares]]+Posts_1[[#This Row],[Comments]]</f>
        <v>2987</v>
      </c>
    </row>
    <row r="51" spans="1:14" x14ac:dyDescent="0.35">
      <c r="A51" t="s">
        <v>194</v>
      </c>
      <c r="B51" t="s">
        <v>33</v>
      </c>
      <c r="C51" s="1">
        <v>45476</v>
      </c>
      <c r="D51" t="s">
        <v>45</v>
      </c>
      <c r="E51">
        <v>2754</v>
      </c>
      <c r="F51">
        <v>130</v>
      </c>
      <c r="G51">
        <v>90</v>
      </c>
      <c r="H51">
        <v>22032</v>
      </c>
      <c r="I51">
        <v>21288</v>
      </c>
      <c r="J51">
        <v>112</v>
      </c>
      <c r="K51" t="s">
        <v>157</v>
      </c>
      <c r="L51" t="s">
        <v>15</v>
      </c>
      <c r="M51" s="5">
        <v>0.13498547567175018</v>
      </c>
      <c r="N51">
        <f>Posts_1[[#This Row],[Likes]]+Posts_1[[#This Row],[Shares]]+Posts_1[[#This Row],[Comments]]</f>
        <v>2974</v>
      </c>
    </row>
    <row r="52" spans="1:14" x14ac:dyDescent="0.35">
      <c r="A52" t="s">
        <v>195</v>
      </c>
      <c r="B52" t="s">
        <v>31</v>
      </c>
      <c r="C52" s="1">
        <v>45456</v>
      </c>
      <c r="D52" t="s">
        <v>52</v>
      </c>
      <c r="E52">
        <v>2200</v>
      </c>
      <c r="F52">
        <v>504</v>
      </c>
      <c r="G52">
        <v>239</v>
      </c>
      <c r="H52">
        <v>37400</v>
      </c>
      <c r="I52">
        <v>36938</v>
      </c>
      <c r="J52">
        <v>225</v>
      </c>
      <c r="K52" t="s">
        <v>154</v>
      </c>
      <c r="L52" t="s">
        <v>11</v>
      </c>
      <c r="M52" s="5">
        <v>7.8689839572192513E-2</v>
      </c>
      <c r="N52">
        <f>Posts_1[[#This Row],[Likes]]+Posts_1[[#This Row],[Shares]]+Posts_1[[#This Row],[Comments]]</f>
        <v>2943</v>
      </c>
    </row>
    <row r="53" spans="1:14" x14ac:dyDescent="0.35">
      <c r="A53" t="s">
        <v>196</v>
      </c>
      <c r="B53" t="s">
        <v>31</v>
      </c>
      <c r="C53" s="1">
        <v>45660</v>
      </c>
      <c r="D53" t="s">
        <v>50</v>
      </c>
      <c r="E53">
        <v>947</v>
      </c>
      <c r="F53">
        <v>338</v>
      </c>
      <c r="G53">
        <v>350</v>
      </c>
      <c r="H53">
        <v>10417</v>
      </c>
      <c r="I53">
        <v>9730</v>
      </c>
      <c r="J53">
        <v>34</v>
      </c>
      <c r="K53" t="s">
        <v>157</v>
      </c>
      <c r="L53" t="s">
        <v>19</v>
      </c>
      <c r="M53" s="5">
        <v>0.1569549774407219</v>
      </c>
      <c r="N53">
        <f>Posts_1[[#This Row],[Likes]]+Posts_1[[#This Row],[Shares]]+Posts_1[[#This Row],[Comments]]</f>
        <v>1635</v>
      </c>
    </row>
    <row r="54" spans="1:14" x14ac:dyDescent="0.35">
      <c r="A54" t="s">
        <v>64</v>
      </c>
      <c r="B54" t="s">
        <v>33</v>
      </c>
      <c r="C54" s="1">
        <v>45712</v>
      </c>
      <c r="D54" t="s">
        <v>52</v>
      </c>
      <c r="E54">
        <v>804</v>
      </c>
      <c r="F54">
        <v>639</v>
      </c>
      <c r="G54">
        <v>43</v>
      </c>
      <c r="H54">
        <v>4020</v>
      </c>
      <c r="I54">
        <v>3144</v>
      </c>
      <c r="J54">
        <v>11</v>
      </c>
      <c r="K54" t="s">
        <v>367</v>
      </c>
      <c r="L54" t="s">
        <v>56</v>
      </c>
      <c r="M54" s="5">
        <v>0.36965174129353234</v>
      </c>
      <c r="N54">
        <f>Posts_1[[#This Row],[Likes]]+Posts_1[[#This Row],[Shares]]+Posts_1[[#This Row],[Comments]]</f>
        <v>1486</v>
      </c>
    </row>
    <row r="55" spans="1:14" x14ac:dyDescent="0.35">
      <c r="A55" t="s">
        <v>197</v>
      </c>
      <c r="B55" t="s">
        <v>33</v>
      </c>
      <c r="C55" s="1">
        <v>45729</v>
      </c>
      <c r="D55" t="s">
        <v>52</v>
      </c>
      <c r="E55">
        <v>1686</v>
      </c>
      <c r="F55">
        <v>904</v>
      </c>
      <c r="G55">
        <v>472</v>
      </c>
      <c r="H55">
        <v>18546</v>
      </c>
      <c r="I55">
        <v>18171</v>
      </c>
      <c r="J55">
        <v>52</v>
      </c>
      <c r="K55" t="s">
        <v>154</v>
      </c>
      <c r="L55" t="s">
        <v>11</v>
      </c>
      <c r="M55" s="5">
        <v>0.16510298716704411</v>
      </c>
      <c r="N55">
        <f>Posts_1[[#This Row],[Likes]]+Posts_1[[#This Row],[Shares]]+Posts_1[[#This Row],[Comments]]</f>
        <v>3062</v>
      </c>
    </row>
    <row r="56" spans="1:14" x14ac:dyDescent="0.35">
      <c r="A56" t="s">
        <v>65</v>
      </c>
      <c r="B56" t="s">
        <v>31</v>
      </c>
      <c r="C56" s="1">
        <v>45460</v>
      </c>
      <c r="D56" t="s">
        <v>50</v>
      </c>
      <c r="E56">
        <v>1226</v>
      </c>
      <c r="F56">
        <v>119</v>
      </c>
      <c r="G56">
        <v>7</v>
      </c>
      <c r="H56">
        <v>14712</v>
      </c>
      <c r="I56">
        <v>14049</v>
      </c>
      <c r="J56">
        <v>123</v>
      </c>
      <c r="K56" t="s">
        <v>46</v>
      </c>
      <c r="L56" t="s">
        <v>19</v>
      </c>
      <c r="M56" s="5">
        <v>9.1897770527460579E-2</v>
      </c>
      <c r="N56">
        <f>Posts_1[[#This Row],[Likes]]+Posts_1[[#This Row],[Shares]]+Posts_1[[#This Row],[Comments]]</f>
        <v>1352</v>
      </c>
    </row>
    <row r="57" spans="1:14" x14ac:dyDescent="0.35">
      <c r="A57" t="s">
        <v>198</v>
      </c>
      <c r="B57" t="s">
        <v>31</v>
      </c>
      <c r="C57" s="1">
        <v>45644</v>
      </c>
      <c r="D57" t="s">
        <v>52</v>
      </c>
      <c r="E57">
        <v>2946</v>
      </c>
      <c r="F57">
        <v>498</v>
      </c>
      <c r="G57">
        <v>367</v>
      </c>
      <c r="H57">
        <v>29460</v>
      </c>
      <c r="I57">
        <v>28527</v>
      </c>
      <c r="J57">
        <v>60</v>
      </c>
      <c r="K57" t="s">
        <v>154</v>
      </c>
      <c r="L57" t="s">
        <v>15</v>
      </c>
      <c r="M57" s="5">
        <v>0.12936184657162253</v>
      </c>
      <c r="N57">
        <f>Posts_1[[#This Row],[Likes]]+Posts_1[[#This Row],[Shares]]+Posts_1[[#This Row],[Comments]]</f>
        <v>3811</v>
      </c>
    </row>
    <row r="58" spans="1:14" x14ac:dyDescent="0.35">
      <c r="A58" t="s">
        <v>199</v>
      </c>
      <c r="B58" t="s">
        <v>32</v>
      </c>
      <c r="C58" s="1">
        <v>45586</v>
      </c>
      <c r="D58" t="s">
        <v>58</v>
      </c>
      <c r="E58">
        <v>2825</v>
      </c>
      <c r="F58">
        <v>535</v>
      </c>
      <c r="G58">
        <v>295</v>
      </c>
      <c r="H58">
        <v>45200</v>
      </c>
      <c r="I58">
        <v>44739</v>
      </c>
      <c r="J58">
        <v>169</v>
      </c>
      <c r="K58" t="s">
        <v>157</v>
      </c>
      <c r="L58" t="s">
        <v>7</v>
      </c>
      <c r="M58" s="5">
        <v>8.0862831858407078E-2</v>
      </c>
      <c r="N58">
        <f>Posts_1[[#This Row],[Likes]]+Posts_1[[#This Row],[Shares]]+Posts_1[[#This Row],[Comments]]</f>
        <v>3655</v>
      </c>
    </row>
    <row r="59" spans="1:14" x14ac:dyDescent="0.35">
      <c r="A59" t="s">
        <v>200</v>
      </c>
      <c r="B59" t="s">
        <v>30</v>
      </c>
      <c r="C59" s="1">
        <v>45762</v>
      </c>
      <c r="D59" t="s">
        <v>48</v>
      </c>
      <c r="E59">
        <v>103</v>
      </c>
      <c r="F59">
        <v>770</v>
      </c>
      <c r="G59">
        <v>19</v>
      </c>
      <c r="H59">
        <v>1030</v>
      </c>
      <c r="I59">
        <v>410</v>
      </c>
      <c r="J59">
        <v>262</v>
      </c>
      <c r="K59" t="s">
        <v>157</v>
      </c>
      <c r="L59" t="s">
        <v>19</v>
      </c>
      <c r="M59" s="5">
        <v>0.86601941747572819</v>
      </c>
      <c r="N59">
        <f>Posts_1[[#This Row],[Likes]]+Posts_1[[#This Row],[Shares]]+Posts_1[[#This Row],[Comments]]</f>
        <v>892</v>
      </c>
    </row>
    <row r="60" spans="1:14" x14ac:dyDescent="0.35">
      <c r="A60" t="s">
        <v>66</v>
      </c>
      <c r="B60" t="s">
        <v>30</v>
      </c>
      <c r="C60" s="1">
        <v>45465</v>
      </c>
      <c r="D60" t="s">
        <v>54</v>
      </c>
      <c r="E60">
        <v>2180</v>
      </c>
      <c r="F60">
        <v>263</v>
      </c>
      <c r="G60">
        <v>387</v>
      </c>
      <c r="H60">
        <v>30520</v>
      </c>
      <c r="I60">
        <v>30059</v>
      </c>
      <c r="J60">
        <v>174</v>
      </c>
      <c r="K60" t="s">
        <v>46</v>
      </c>
      <c r="L60" t="s">
        <v>56</v>
      </c>
      <c r="M60" s="5">
        <v>9.2726081258191345E-2</v>
      </c>
      <c r="N60">
        <f>Posts_1[[#This Row],[Likes]]+Posts_1[[#This Row],[Shares]]+Posts_1[[#This Row],[Comments]]</f>
        <v>2830</v>
      </c>
    </row>
    <row r="61" spans="1:14" x14ac:dyDescent="0.35">
      <c r="A61" t="s">
        <v>67</v>
      </c>
      <c r="B61" t="s">
        <v>30</v>
      </c>
      <c r="C61" s="1">
        <v>45685</v>
      </c>
      <c r="D61" t="s">
        <v>58</v>
      </c>
      <c r="E61">
        <v>904</v>
      </c>
      <c r="F61">
        <v>973</v>
      </c>
      <c r="G61">
        <v>63</v>
      </c>
      <c r="H61">
        <v>11752</v>
      </c>
      <c r="I61">
        <v>11580</v>
      </c>
      <c r="J61">
        <v>84</v>
      </c>
      <c r="K61" t="s">
        <v>368</v>
      </c>
      <c r="L61" t="s">
        <v>15</v>
      </c>
      <c r="M61" s="5">
        <v>0.1650782845473111</v>
      </c>
      <c r="N61">
        <f>Posts_1[[#This Row],[Likes]]+Posts_1[[#This Row],[Shares]]+Posts_1[[#This Row],[Comments]]</f>
        <v>1940</v>
      </c>
    </row>
    <row r="62" spans="1:14" x14ac:dyDescent="0.35">
      <c r="A62" t="s">
        <v>201</v>
      </c>
      <c r="B62" t="s">
        <v>32</v>
      </c>
      <c r="C62" s="1">
        <v>45540</v>
      </c>
      <c r="D62" t="s">
        <v>58</v>
      </c>
      <c r="E62">
        <v>4886</v>
      </c>
      <c r="F62">
        <v>983</v>
      </c>
      <c r="G62">
        <v>409</v>
      </c>
      <c r="H62">
        <v>43974</v>
      </c>
      <c r="I62">
        <v>43239</v>
      </c>
      <c r="J62">
        <v>65</v>
      </c>
      <c r="K62" t="s">
        <v>157</v>
      </c>
      <c r="L62" t="s">
        <v>7</v>
      </c>
      <c r="M62" s="5">
        <v>0.14276618001546368</v>
      </c>
      <c r="N62">
        <f>Posts_1[[#This Row],[Likes]]+Posts_1[[#This Row],[Shares]]+Posts_1[[#This Row],[Comments]]</f>
        <v>6278</v>
      </c>
    </row>
    <row r="63" spans="1:14" x14ac:dyDescent="0.35">
      <c r="A63" t="s">
        <v>202</v>
      </c>
      <c r="B63" t="s">
        <v>32</v>
      </c>
      <c r="C63" s="1">
        <v>45618</v>
      </c>
      <c r="D63" t="s">
        <v>52</v>
      </c>
      <c r="E63">
        <v>53</v>
      </c>
      <c r="F63">
        <v>81</v>
      </c>
      <c r="G63">
        <v>379</v>
      </c>
      <c r="H63">
        <v>954</v>
      </c>
      <c r="I63">
        <v>7</v>
      </c>
      <c r="J63">
        <v>148</v>
      </c>
      <c r="K63" t="s">
        <v>157</v>
      </c>
      <c r="L63" t="s">
        <v>15</v>
      </c>
      <c r="M63" s="5">
        <v>0.53773584905660377</v>
      </c>
      <c r="N63">
        <f>Posts_1[[#This Row],[Likes]]+Posts_1[[#This Row],[Shares]]+Posts_1[[#This Row],[Comments]]</f>
        <v>513</v>
      </c>
    </row>
    <row r="64" spans="1:14" x14ac:dyDescent="0.35">
      <c r="A64" t="s">
        <v>203</v>
      </c>
      <c r="B64" t="s">
        <v>32</v>
      </c>
      <c r="C64" s="1">
        <v>45504</v>
      </c>
      <c r="D64" t="s">
        <v>52</v>
      </c>
      <c r="E64">
        <v>4507</v>
      </c>
      <c r="F64">
        <v>217</v>
      </c>
      <c r="G64">
        <v>13</v>
      </c>
      <c r="H64">
        <v>90140</v>
      </c>
      <c r="I64">
        <v>89591</v>
      </c>
      <c r="J64">
        <v>125</v>
      </c>
      <c r="K64" t="s">
        <v>154</v>
      </c>
      <c r="L64" t="s">
        <v>15</v>
      </c>
      <c r="M64" s="5">
        <v>5.2551586421122697E-2</v>
      </c>
      <c r="N64">
        <f>Posts_1[[#This Row],[Likes]]+Posts_1[[#This Row],[Shares]]+Posts_1[[#This Row],[Comments]]</f>
        <v>4737</v>
      </c>
    </row>
    <row r="65" spans="1:14" x14ac:dyDescent="0.35">
      <c r="A65" t="s">
        <v>204</v>
      </c>
      <c r="B65" t="s">
        <v>31</v>
      </c>
      <c r="C65" s="1">
        <v>45521</v>
      </c>
      <c r="D65" t="s">
        <v>50</v>
      </c>
      <c r="E65">
        <v>2878</v>
      </c>
      <c r="F65">
        <v>248</v>
      </c>
      <c r="G65">
        <v>416</v>
      </c>
      <c r="H65">
        <v>43170</v>
      </c>
      <c r="I65">
        <v>42667</v>
      </c>
      <c r="J65">
        <v>75</v>
      </c>
      <c r="K65" t="s">
        <v>154</v>
      </c>
      <c r="L65" t="s">
        <v>15</v>
      </c>
      <c r="M65" s="5">
        <v>8.2047718322909427E-2</v>
      </c>
      <c r="N65">
        <f>Posts_1[[#This Row],[Likes]]+Posts_1[[#This Row],[Shares]]+Posts_1[[#This Row],[Comments]]</f>
        <v>3542</v>
      </c>
    </row>
    <row r="66" spans="1:14" x14ac:dyDescent="0.35">
      <c r="A66" t="s">
        <v>68</v>
      </c>
      <c r="B66" t="s">
        <v>30</v>
      </c>
      <c r="C66" s="1">
        <v>45744</v>
      </c>
      <c r="D66" t="s">
        <v>45</v>
      </c>
      <c r="E66">
        <v>1881</v>
      </c>
      <c r="F66">
        <v>501</v>
      </c>
      <c r="G66">
        <v>99</v>
      </c>
      <c r="H66">
        <v>20691</v>
      </c>
      <c r="I66">
        <v>19987</v>
      </c>
      <c r="J66">
        <v>289</v>
      </c>
      <c r="K66" t="s">
        <v>46</v>
      </c>
      <c r="L66" t="s">
        <v>56</v>
      </c>
      <c r="M66" s="5">
        <v>0.11990720603160794</v>
      </c>
      <c r="N66">
        <f>Posts_1[[#This Row],[Likes]]+Posts_1[[#This Row],[Shares]]+Posts_1[[#This Row],[Comments]]</f>
        <v>2481</v>
      </c>
    </row>
    <row r="67" spans="1:14" x14ac:dyDescent="0.35">
      <c r="A67" t="s">
        <v>69</v>
      </c>
      <c r="B67" t="s">
        <v>32</v>
      </c>
      <c r="C67" s="1">
        <v>45499</v>
      </c>
      <c r="D67" t="s">
        <v>52</v>
      </c>
      <c r="E67">
        <v>432</v>
      </c>
      <c r="F67">
        <v>171</v>
      </c>
      <c r="G67">
        <v>280</v>
      </c>
      <c r="H67">
        <v>3024</v>
      </c>
      <c r="I67">
        <v>2285</v>
      </c>
      <c r="J67">
        <v>184</v>
      </c>
      <c r="K67" t="s">
        <v>46</v>
      </c>
      <c r="L67" t="s">
        <v>7</v>
      </c>
      <c r="M67" s="5">
        <v>0.29199735449735448</v>
      </c>
      <c r="N67">
        <f>Posts_1[[#This Row],[Likes]]+Posts_1[[#This Row],[Shares]]+Posts_1[[#This Row],[Comments]]</f>
        <v>883</v>
      </c>
    </row>
    <row r="68" spans="1:14" x14ac:dyDescent="0.35">
      <c r="A68" t="s">
        <v>70</v>
      </c>
      <c r="B68" t="s">
        <v>31</v>
      </c>
      <c r="C68" s="1">
        <v>45745</v>
      </c>
      <c r="D68" t="s">
        <v>52</v>
      </c>
      <c r="E68">
        <v>4712</v>
      </c>
      <c r="F68">
        <v>568</v>
      </c>
      <c r="G68">
        <v>127</v>
      </c>
      <c r="H68">
        <v>84816</v>
      </c>
      <c r="I68">
        <v>84691</v>
      </c>
      <c r="J68">
        <v>100</v>
      </c>
      <c r="K68" t="s">
        <v>46</v>
      </c>
      <c r="L68" t="s">
        <v>15</v>
      </c>
      <c r="M68" s="5">
        <v>6.3749764195434822E-2</v>
      </c>
      <c r="N68">
        <f>Posts_1[[#This Row],[Likes]]+Posts_1[[#This Row],[Shares]]+Posts_1[[#This Row],[Comments]]</f>
        <v>5407</v>
      </c>
    </row>
    <row r="69" spans="1:14" x14ac:dyDescent="0.35">
      <c r="A69" t="s">
        <v>71</v>
      </c>
      <c r="B69" t="s">
        <v>30</v>
      </c>
      <c r="C69" s="1">
        <v>45634</v>
      </c>
      <c r="D69" t="s">
        <v>45</v>
      </c>
      <c r="E69">
        <v>2610</v>
      </c>
      <c r="F69">
        <v>126</v>
      </c>
      <c r="G69">
        <v>288</v>
      </c>
      <c r="H69">
        <v>15660</v>
      </c>
      <c r="I69">
        <v>15145</v>
      </c>
      <c r="J69">
        <v>73</v>
      </c>
      <c r="K69" t="s">
        <v>46</v>
      </c>
      <c r="L69" t="s">
        <v>56</v>
      </c>
      <c r="M69" s="5">
        <v>0.19310344827586207</v>
      </c>
      <c r="N69">
        <f>Posts_1[[#This Row],[Likes]]+Posts_1[[#This Row],[Shares]]+Posts_1[[#This Row],[Comments]]</f>
        <v>3024</v>
      </c>
    </row>
    <row r="70" spans="1:14" x14ac:dyDescent="0.35">
      <c r="A70" t="s">
        <v>205</v>
      </c>
      <c r="B70" t="s">
        <v>32</v>
      </c>
      <c r="C70" s="1">
        <v>45724</v>
      </c>
      <c r="D70" t="s">
        <v>54</v>
      </c>
      <c r="E70">
        <v>1292</v>
      </c>
      <c r="F70">
        <v>626</v>
      </c>
      <c r="G70">
        <v>496</v>
      </c>
      <c r="H70">
        <v>25840</v>
      </c>
      <c r="I70">
        <v>24916</v>
      </c>
      <c r="J70">
        <v>149</v>
      </c>
      <c r="K70" t="s">
        <v>154</v>
      </c>
      <c r="L70" t="s">
        <v>15</v>
      </c>
      <c r="M70" s="5">
        <v>9.3421052631578946E-2</v>
      </c>
      <c r="N70">
        <f>Posts_1[[#This Row],[Likes]]+Posts_1[[#This Row],[Shares]]+Posts_1[[#This Row],[Comments]]</f>
        <v>2414</v>
      </c>
    </row>
    <row r="71" spans="1:14" x14ac:dyDescent="0.35">
      <c r="A71" t="s">
        <v>206</v>
      </c>
      <c r="B71" t="s">
        <v>31</v>
      </c>
      <c r="C71" s="1">
        <v>45749</v>
      </c>
      <c r="D71" t="s">
        <v>58</v>
      </c>
      <c r="E71">
        <v>199</v>
      </c>
      <c r="F71">
        <v>772</v>
      </c>
      <c r="G71">
        <v>400</v>
      </c>
      <c r="H71">
        <v>3582</v>
      </c>
      <c r="I71">
        <v>2988</v>
      </c>
      <c r="J71">
        <v>43</v>
      </c>
      <c r="K71" t="s">
        <v>157</v>
      </c>
      <c r="L71" t="s">
        <v>56</v>
      </c>
      <c r="M71" s="5">
        <v>0.38274706867671693</v>
      </c>
      <c r="N71">
        <f>Posts_1[[#This Row],[Likes]]+Posts_1[[#This Row],[Shares]]+Posts_1[[#This Row],[Comments]]</f>
        <v>1371</v>
      </c>
    </row>
    <row r="72" spans="1:14" x14ac:dyDescent="0.35">
      <c r="A72" t="s">
        <v>207</v>
      </c>
      <c r="B72" t="s">
        <v>33</v>
      </c>
      <c r="C72" s="1">
        <v>45537</v>
      </c>
      <c r="D72" t="s">
        <v>52</v>
      </c>
      <c r="E72">
        <v>2551</v>
      </c>
      <c r="F72">
        <v>915</v>
      </c>
      <c r="G72">
        <v>205</v>
      </c>
      <c r="H72">
        <v>30612</v>
      </c>
      <c r="I72">
        <v>30360</v>
      </c>
      <c r="J72">
        <v>227</v>
      </c>
      <c r="K72" t="s">
        <v>157</v>
      </c>
      <c r="L72" t="s">
        <v>11</v>
      </c>
      <c r="M72" s="5">
        <v>0.1199202926956749</v>
      </c>
      <c r="N72">
        <f>Posts_1[[#This Row],[Likes]]+Posts_1[[#This Row],[Shares]]+Posts_1[[#This Row],[Comments]]</f>
        <v>3671</v>
      </c>
    </row>
    <row r="73" spans="1:14" x14ac:dyDescent="0.35">
      <c r="A73" t="s">
        <v>72</v>
      </c>
      <c r="B73" t="s">
        <v>33</v>
      </c>
      <c r="C73" s="1">
        <v>45719</v>
      </c>
      <c r="D73" t="s">
        <v>48</v>
      </c>
      <c r="E73">
        <v>296</v>
      </c>
      <c r="F73">
        <v>60</v>
      </c>
      <c r="G73">
        <v>141</v>
      </c>
      <c r="H73">
        <v>5624</v>
      </c>
      <c r="I73">
        <v>5239</v>
      </c>
      <c r="J73">
        <v>88</v>
      </c>
      <c r="K73" t="s">
        <v>46</v>
      </c>
      <c r="L73" t="s">
        <v>11</v>
      </c>
      <c r="M73" s="5">
        <v>8.837126600284495E-2</v>
      </c>
      <c r="N73">
        <f>Posts_1[[#This Row],[Likes]]+Posts_1[[#This Row],[Shares]]+Posts_1[[#This Row],[Comments]]</f>
        <v>497</v>
      </c>
    </row>
    <row r="74" spans="1:14" x14ac:dyDescent="0.35">
      <c r="A74" t="s">
        <v>208</v>
      </c>
      <c r="B74" t="s">
        <v>31</v>
      </c>
      <c r="C74" s="1">
        <v>45583</v>
      </c>
      <c r="D74" t="s">
        <v>45</v>
      </c>
      <c r="E74">
        <v>4126</v>
      </c>
      <c r="F74">
        <v>426</v>
      </c>
      <c r="G74">
        <v>486</v>
      </c>
      <c r="H74">
        <v>78394</v>
      </c>
      <c r="I74">
        <v>77798</v>
      </c>
      <c r="J74">
        <v>88</v>
      </c>
      <c r="K74" t="s">
        <v>154</v>
      </c>
      <c r="L74" t="s">
        <v>19</v>
      </c>
      <c r="M74" s="5">
        <v>6.4265122330790625E-2</v>
      </c>
      <c r="N74">
        <f>Posts_1[[#This Row],[Likes]]+Posts_1[[#This Row],[Shares]]+Posts_1[[#This Row],[Comments]]</f>
        <v>5038</v>
      </c>
    </row>
    <row r="75" spans="1:14" x14ac:dyDescent="0.35">
      <c r="A75" t="s">
        <v>209</v>
      </c>
      <c r="B75" t="s">
        <v>33</v>
      </c>
      <c r="C75" s="1">
        <v>45593</v>
      </c>
      <c r="D75" t="s">
        <v>48</v>
      </c>
      <c r="E75">
        <v>1855</v>
      </c>
      <c r="F75">
        <v>200</v>
      </c>
      <c r="G75">
        <v>174</v>
      </c>
      <c r="H75">
        <v>16695</v>
      </c>
      <c r="I75">
        <v>16330</v>
      </c>
      <c r="J75">
        <v>123</v>
      </c>
      <c r="K75" t="s">
        <v>157</v>
      </c>
      <c r="L75" t="s">
        <v>15</v>
      </c>
      <c r="M75" s="5">
        <v>0.13351302785265048</v>
      </c>
      <c r="N75">
        <f>Posts_1[[#This Row],[Likes]]+Posts_1[[#This Row],[Shares]]+Posts_1[[#This Row],[Comments]]</f>
        <v>2229</v>
      </c>
    </row>
    <row r="76" spans="1:14" x14ac:dyDescent="0.35">
      <c r="A76" t="s">
        <v>210</v>
      </c>
      <c r="B76" t="s">
        <v>30</v>
      </c>
      <c r="C76" s="1">
        <v>45505</v>
      </c>
      <c r="D76" t="s">
        <v>48</v>
      </c>
      <c r="E76">
        <v>1674</v>
      </c>
      <c r="F76">
        <v>929</v>
      </c>
      <c r="G76">
        <v>37</v>
      </c>
      <c r="H76">
        <v>21762</v>
      </c>
      <c r="I76">
        <v>20998</v>
      </c>
      <c r="J76">
        <v>255</v>
      </c>
      <c r="K76" t="s">
        <v>157</v>
      </c>
      <c r="L76" t="s">
        <v>19</v>
      </c>
      <c r="M76" s="5">
        <v>0.12131237937689551</v>
      </c>
      <c r="N76">
        <f>Posts_1[[#This Row],[Likes]]+Posts_1[[#This Row],[Shares]]+Posts_1[[#This Row],[Comments]]</f>
        <v>2640</v>
      </c>
    </row>
    <row r="77" spans="1:14" x14ac:dyDescent="0.35">
      <c r="A77" t="s">
        <v>211</v>
      </c>
      <c r="B77" t="s">
        <v>32</v>
      </c>
      <c r="C77" s="1">
        <v>45603</v>
      </c>
      <c r="D77" t="s">
        <v>45</v>
      </c>
      <c r="E77">
        <v>1121</v>
      </c>
      <c r="F77">
        <v>135</v>
      </c>
      <c r="G77">
        <v>18</v>
      </c>
      <c r="H77">
        <v>15694</v>
      </c>
      <c r="I77">
        <v>14957</v>
      </c>
      <c r="J77">
        <v>99</v>
      </c>
      <c r="K77" t="s">
        <v>157</v>
      </c>
      <c r="L77" t="s">
        <v>19</v>
      </c>
      <c r="M77" s="5">
        <v>8.1177520071364848E-2</v>
      </c>
      <c r="N77">
        <f>Posts_1[[#This Row],[Likes]]+Posts_1[[#This Row],[Shares]]+Posts_1[[#This Row],[Comments]]</f>
        <v>1274</v>
      </c>
    </row>
    <row r="78" spans="1:14" x14ac:dyDescent="0.35">
      <c r="A78" t="s">
        <v>212</v>
      </c>
      <c r="B78" t="s">
        <v>31</v>
      </c>
      <c r="C78" s="1">
        <v>45720</v>
      </c>
      <c r="D78" t="s">
        <v>45</v>
      </c>
      <c r="E78">
        <v>1249</v>
      </c>
      <c r="F78">
        <v>116</v>
      </c>
      <c r="G78">
        <v>420</v>
      </c>
      <c r="H78">
        <v>8743</v>
      </c>
      <c r="I78">
        <v>8538</v>
      </c>
      <c r="J78">
        <v>63</v>
      </c>
      <c r="K78" t="s">
        <v>157</v>
      </c>
      <c r="L78" t="s">
        <v>56</v>
      </c>
      <c r="M78" s="5">
        <v>0.20416333066453163</v>
      </c>
      <c r="N78">
        <f>Posts_1[[#This Row],[Likes]]+Posts_1[[#This Row],[Shares]]+Posts_1[[#This Row],[Comments]]</f>
        <v>1785</v>
      </c>
    </row>
    <row r="79" spans="1:14" x14ac:dyDescent="0.35">
      <c r="A79" t="s">
        <v>213</v>
      </c>
      <c r="B79" t="s">
        <v>32</v>
      </c>
      <c r="C79" s="1">
        <v>45460</v>
      </c>
      <c r="D79" t="s">
        <v>50</v>
      </c>
      <c r="E79">
        <v>954</v>
      </c>
      <c r="F79">
        <v>324</v>
      </c>
      <c r="G79">
        <v>288</v>
      </c>
      <c r="H79">
        <v>19080</v>
      </c>
      <c r="I79">
        <v>18859</v>
      </c>
      <c r="J79">
        <v>21</v>
      </c>
      <c r="K79" t="s">
        <v>154</v>
      </c>
      <c r="L79" t="s">
        <v>19</v>
      </c>
      <c r="M79" s="5">
        <v>8.2075471698113203E-2</v>
      </c>
      <c r="N79">
        <f>Posts_1[[#This Row],[Likes]]+Posts_1[[#This Row],[Shares]]+Posts_1[[#This Row],[Comments]]</f>
        <v>1566</v>
      </c>
    </row>
    <row r="80" spans="1:14" x14ac:dyDescent="0.35">
      <c r="A80" t="s">
        <v>73</v>
      </c>
      <c r="B80" t="s">
        <v>30</v>
      </c>
      <c r="C80" s="1">
        <v>45574</v>
      </c>
      <c r="D80" t="s">
        <v>52</v>
      </c>
      <c r="E80">
        <v>3068</v>
      </c>
      <c r="F80">
        <v>137</v>
      </c>
      <c r="G80">
        <v>329</v>
      </c>
      <c r="H80">
        <v>39884</v>
      </c>
      <c r="I80">
        <v>39404</v>
      </c>
      <c r="J80">
        <v>266</v>
      </c>
      <c r="K80" t="s">
        <v>46</v>
      </c>
      <c r="L80" t="s">
        <v>11</v>
      </c>
      <c r="M80" s="5">
        <v>8.860696018453515E-2</v>
      </c>
      <c r="N80">
        <f>Posts_1[[#This Row],[Likes]]+Posts_1[[#This Row],[Shares]]+Posts_1[[#This Row],[Comments]]</f>
        <v>3534</v>
      </c>
    </row>
    <row r="81" spans="1:14" x14ac:dyDescent="0.35">
      <c r="A81" t="s">
        <v>214</v>
      </c>
      <c r="B81" t="s">
        <v>30</v>
      </c>
      <c r="C81" s="1">
        <v>45456</v>
      </c>
      <c r="D81" t="s">
        <v>45</v>
      </c>
      <c r="E81">
        <v>2103</v>
      </c>
      <c r="F81">
        <v>892</v>
      </c>
      <c r="G81">
        <v>103</v>
      </c>
      <c r="H81">
        <v>39957</v>
      </c>
      <c r="I81">
        <v>39466</v>
      </c>
      <c r="J81">
        <v>28</v>
      </c>
      <c r="K81" t="s">
        <v>154</v>
      </c>
      <c r="L81" t="s">
        <v>56</v>
      </c>
      <c r="M81" s="5">
        <v>7.7533348349475686E-2</v>
      </c>
      <c r="N81">
        <f>Posts_1[[#This Row],[Likes]]+Posts_1[[#This Row],[Shares]]+Posts_1[[#This Row],[Comments]]</f>
        <v>3098</v>
      </c>
    </row>
    <row r="82" spans="1:14" x14ac:dyDescent="0.35">
      <c r="A82" t="s">
        <v>215</v>
      </c>
      <c r="B82" t="s">
        <v>30</v>
      </c>
      <c r="C82" s="1">
        <v>45584</v>
      </c>
      <c r="D82" t="s">
        <v>45</v>
      </c>
      <c r="E82">
        <v>1816</v>
      </c>
      <c r="F82">
        <v>29</v>
      </c>
      <c r="G82">
        <v>41</v>
      </c>
      <c r="H82">
        <v>19976</v>
      </c>
      <c r="I82">
        <v>19262</v>
      </c>
      <c r="J82">
        <v>283</v>
      </c>
      <c r="K82" t="s">
        <v>157</v>
      </c>
      <c r="L82" t="s">
        <v>15</v>
      </c>
      <c r="M82" s="5">
        <v>9.4413295955146179E-2</v>
      </c>
      <c r="N82">
        <f>Posts_1[[#This Row],[Likes]]+Posts_1[[#This Row],[Shares]]+Posts_1[[#This Row],[Comments]]</f>
        <v>1886</v>
      </c>
    </row>
    <row r="83" spans="1:14" x14ac:dyDescent="0.35">
      <c r="A83" t="s">
        <v>216</v>
      </c>
      <c r="B83" t="s">
        <v>30</v>
      </c>
      <c r="C83" s="1">
        <v>45497</v>
      </c>
      <c r="D83" t="s">
        <v>50</v>
      </c>
      <c r="E83">
        <v>725</v>
      </c>
      <c r="F83">
        <v>88</v>
      </c>
      <c r="G83">
        <v>428</v>
      </c>
      <c r="H83">
        <v>14500</v>
      </c>
      <c r="I83">
        <v>13637</v>
      </c>
      <c r="J83">
        <v>200</v>
      </c>
      <c r="K83" t="s">
        <v>369</v>
      </c>
      <c r="L83" t="s">
        <v>15</v>
      </c>
      <c r="M83" s="5">
        <v>8.558620689655172E-2</v>
      </c>
      <c r="N83">
        <f>Posts_1[[#This Row],[Likes]]+Posts_1[[#This Row],[Shares]]+Posts_1[[#This Row],[Comments]]</f>
        <v>1241</v>
      </c>
    </row>
    <row r="84" spans="1:14" x14ac:dyDescent="0.35">
      <c r="A84" t="s">
        <v>74</v>
      </c>
      <c r="B84" t="s">
        <v>33</v>
      </c>
      <c r="C84" s="1">
        <v>45580</v>
      </c>
      <c r="D84" t="s">
        <v>58</v>
      </c>
      <c r="E84">
        <v>1094</v>
      </c>
      <c r="F84">
        <v>472</v>
      </c>
      <c r="G84">
        <v>21</v>
      </c>
      <c r="H84">
        <v>9846</v>
      </c>
      <c r="I84">
        <v>9609</v>
      </c>
      <c r="J84">
        <v>112</v>
      </c>
      <c r="K84" t="s">
        <v>46</v>
      </c>
      <c r="L84" t="s">
        <v>56</v>
      </c>
      <c r="M84" s="5">
        <v>0.16118220597196831</v>
      </c>
      <c r="N84">
        <f>Posts_1[[#This Row],[Likes]]+Posts_1[[#This Row],[Shares]]+Posts_1[[#This Row],[Comments]]</f>
        <v>1587</v>
      </c>
    </row>
    <row r="85" spans="1:14" x14ac:dyDescent="0.35">
      <c r="A85" t="s">
        <v>217</v>
      </c>
      <c r="B85" t="s">
        <v>31</v>
      </c>
      <c r="C85" s="1">
        <v>45635</v>
      </c>
      <c r="D85" t="s">
        <v>50</v>
      </c>
      <c r="E85">
        <v>1841</v>
      </c>
      <c r="F85">
        <v>851</v>
      </c>
      <c r="G85">
        <v>342</v>
      </c>
      <c r="H85">
        <v>34979</v>
      </c>
      <c r="I85">
        <v>34154</v>
      </c>
      <c r="J85">
        <v>255</v>
      </c>
      <c r="K85" t="s">
        <v>154</v>
      </c>
      <c r="L85" t="s">
        <v>19</v>
      </c>
      <c r="M85" s="5">
        <v>8.6737756939878216E-2</v>
      </c>
      <c r="N85">
        <f>Posts_1[[#This Row],[Likes]]+Posts_1[[#This Row],[Shares]]+Posts_1[[#This Row],[Comments]]</f>
        <v>3034</v>
      </c>
    </row>
    <row r="86" spans="1:14" x14ac:dyDescent="0.35">
      <c r="A86" t="s">
        <v>218</v>
      </c>
      <c r="B86" t="s">
        <v>30</v>
      </c>
      <c r="C86" s="1">
        <v>45766</v>
      </c>
      <c r="D86" t="s">
        <v>50</v>
      </c>
      <c r="E86">
        <v>4177</v>
      </c>
      <c r="F86">
        <v>569</v>
      </c>
      <c r="G86">
        <v>55</v>
      </c>
      <c r="H86">
        <v>25062</v>
      </c>
      <c r="I86">
        <v>24847</v>
      </c>
      <c r="J86">
        <v>230</v>
      </c>
      <c r="K86" t="s">
        <v>154</v>
      </c>
      <c r="L86" t="s">
        <v>7</v>
      </c>
      <c r="M86" s="5">
        <v>0.19156491900087783</v>
      </c>
      <c r="N86">
        <f>Posts_1[[#This Row],[Likes]]+Posts_1[[#This Row],[Shares]]+Posts_1[[#This Row],[Comments]]</f>
        <v>4801</v>
      </c>
    </row>
    <row r="87" spans="1:14" x14ac:dyDescent="0.35">
      <c r="A87" t="s">
        <v>75</v>
      </c>
      <c r="B87" t="s">
        <v>33</v>
      </c>
      <c r="C87" s="1">
        <v>45684</v>
      </c>
      <c r="D87" t="s">
        <v>54</v>
      </c>
      <c r="E87">
        <v>3428</v>
      </c>
      <c r="F87">
        <v>305</v>
      </c>
      <c r="G87">
        <v>85</v>
      </c>
      <c r="H87">
        <v>58276</v>
      </c>
      <c r="I87">
        <v>58052</v>
      </c>
      <c r="J87">
        <v>242</v>
      </c>
      <c r="K87" t="s">
        <v>367</v>
      </c>
      <c r="L87" t="s">
        <v>19</v>
      </c>
      <c r="M87" s="5">
        <v>6.5515821264328367E-2</v>
      </c>
      <c r="N87">
        <f>Posts_1[[#This Row],[Likes]]+Posts_1[[#This Row],[Shares]]+Posts_1[[#This Row],[Comments]]</f>
        <v>3818</v>
      </c>
    </row>
    <row r="88" spans="1:14" x14ac:dyDescent="0.35">
      <c r="A88" t="s">
        <v>219</v>
      </c>
      <c r="B88" t="s">
        <v>32</v>
      </c>
      <c r="C88" s="1">
        <v>45449</v>
      </c>
      <c r="D88" t="s">
        <v>58</v>
      </c>
      <c r="E88">
        <v>1436</v>
      </c>
      <c r="F88">
        <v>765</v>
      </c>
      <c r="G88">
        <v>496</v>
      </c>
      <c r="H88">
        <v>12924</v>
      </c>
      <c r="I88">
        <v>12701</v>
      </c>
      <c r="J88">
        <v>197</v>
      </c>
      <c r="K88" t="s">
        <v>154</v>
      </c>
      <c r="L88" t="s">
        <v>15</v>
      </c>
      <c r="M88" s="5">
        <v>0.20868152274837512</v>
      </c>
      <c r="N88">
        <f>Posts_1[[#This Row],[Likes]]+Posts_1[[#This Row],[Shares]]+Posts_1[[#This Row],[Comments]]</f>
        <v>2697</v>
      </c>
    </row>
    <row r="89" spans="1:14" x14ac:dyDescent="0.35">
      <c r="A89" t="s">
        <v>220</v>
      </c>
      <c r="B89" t="s">
        <v>31</v>
      </c>
      <c r="C89" s="1">
        <v>45480</v>
      </c>
      <c r="D89" t="s">
        <v>45</v>
      </c>
      <c r="E89">
        <v>302</v>
      </c>
      <c r="F89">
        <v>47</v>
      </c>
      <c r="G89">
        <v>430</v>
      </c>
      <c r="H89">
        <v>5738</v>
      </c>
      <c r="I89">
        <v>4890</v>
      </c>
      <c r="J89">
        <v>25</v>
      </c>
      <c r="K89" t="s">
        <v>157</v>
      </c>
      <c r="L89" t="s">
        <v>19</v>
      </c>
      <c r="M89" s="5">
        <v>0.13576158940397351</v>
      </c>
      <c r="N89">
        <f>Posts_1[[#This Row],[Likes]]+Posts_1[[#This Row],[Shares]]+Posts_1[[#This Row],[Comments]]</f>
        <v>779</v>
      </c>
    </row>
    <row r="90" spans="1:14" x14ac:dyDescent="0.35">
      <c r="A90" t="s">
        <v>76</v>
      </c>
      <c r="B90" t="s">
        <v>32</v>
      </c>
      <c r="C90" s="1">
        <v>45667</v>
      </c>
      <c r="D90" t="s">
        <v>50</v>
      </c>
      <c r="E90">
        <v>2214</v>
      </c>
      <c r="F90">
        <v>249</v>
      </c>
      <c r="G90">
        <v>152</v>
      </c>
      <c r="H90">
        <v>15498</v>
      </c>
      <c r="I90">
        <v>14800</v>
      </c>
      <c r="J90">
        <v>180</v>
      </c>
      <c r="K90" t="s">
        <v>46</v>
      </c>
      <c r="L90" t="s">
        <v>56</v>
      </c>
      <c r="M90" s="5">
        <v>0.16873144921925409</v>
      </c>
      <c r="N90">
        <f>Posts_1[[#This Row],[Likes]]+Posts_1[[#This Row],[Shares]]+Posts_1[[#This Row],[Comments]]</f>
        <v>2615</v>
      </c>
    </row>
    <row r="91" spans="1:14" x14ac:dyDescent="0.35">
      <c r="A91" t="s">
        <v>221</v>
      </c>
      <c r="B91" t="s">
        <v>30</v>
      </c>
      <c r="C91" s="1">
        <v>45446</v>
      </c>
      <c r="D91" t="s">
        <v>50</v>
      </c>
      <c r="E91">
        <v>3861</v>
      </c>
      <c r="F91">
        <v>960</v>
      </c>
      <c r="G91">
        <v>101</v>
      </c>
      <c r="H91">
        <v>69498</v>
      </c>
      <c r="I91">
        <v>68817</v>
      </c>
      <c r="J91">
        <v>297</v>
      </c>
      <c r="K91" t="s">
        <v>157</v>
      </c>
      <c r="L91" t="s">
        <v>19</v>
      </c>
      <c r="M91" s="5">
        <v>7.0822181933293038E-2</v>
      </c>
      <c r="N91">
        <f>Posts_1[[#This Row],[Likes]]+Posts_1[[#This Row],[Shares]]+Posts_1[[#This Row],[Comments]]</f>
        <v>4922</v>
      </c>
    </row>
    <row r="92" spans="1:14" x14ac:dyDescent="0.35">
      <c r="A92" t="s">
        <v>77</v>
      </c>
      <c r="B92" t="s">
        <v>31</v>
      </c>
      <c r="C92" s="1">
        <v>45740</v>
      </c>
      <c r="D92" t="s">
        <v>50</v>
      </c>
      <c r="E92">
        <v>1263</v>
      </c>
      <c r="F92">
        <v>397</v>
      </c>
      <c r="G92">
        <v>357</v>
      </c>
      <c r="H92">
        <v>25260</v>
      </c>
      <c r="I92">
        <v>24615</v>
      </c>
      <c r="J92">
        <v>137</v>
      </c>
      <c r="K92" t="s">
        <v>46</v>
      </c>
      <c r="L92" t="s">
        <v>19</v>
      </c>
      <c r="M92" s="5">
        <v>7.984956452889945E-2</v>
      </c>
      <c r="N92">
        <f>Posts_1[[#This Row],[Likes]]+Posts_1[[#This Row],[Shares]]+Posts_1[[#This Row],[Comments]]</f>
        <v>2017</v>
      </c>
    </row>
    <row r="93" spans="1:14" x14ac:dyDescent="0.35">
      <c r="A93" t="s">
        <v>222</v>
      </c>
      <c r="B93" t="s">
        <v>32</v>
      </c>
      <c r="C93" s="1">
        <v>45586</v>
      </c>
      <c r="D93" t="s">
        <v>45</v>
      </c>
      <c r="E93">
        <v>3801</v>
      </c>
      <c r="F93">
        <v>967</v>
      </c>
      <c r="G93">
        <v>401</v>
      </c>
      <c r="H93">
        <v>38010</v>
      </c>
      <c r="I93">
        <v>37625</v>
      </c>
      <c r="J93">
        <v>236</v>
      </c>
      <c r="K93" t="s">
        <v>154</v>
      </c>
      <c r="L93" t="s">
        <v>15</v>
      </c>
      <c r="M93" s="5">
        <v>0.13599052880820836</v>
      </c>
      <c r="N93">
        <f>Posts_1[[#This Row],[Likes]]+Posts_1[[#This Row],[Shares]]+Posts_1[[#This Row],[Comments]]</f>
        <v>5169</v>
      </c>
    </row>
    <row r="94" spans="1:14" x14ac:dyDescent="0.35">
      <c r="A94" t="s">
        <v>78</v>
      </c>
      <c r="B94" t="s">
        <v>30</v>
      </c>
      <c r="C94" s="1">
        <v>45637</v>
      </c>
      <c r="D94" t="s">
        <v>58</v>
      </c>
      <c r="E94">
        <v>1431</v>
      </c>
      <c r="F94">
        <v>951</v>
      </c>
      <c r="G94">
        <v>26</v>
      </c>
      <c r="H94">
        <v>8586</v>
      </c>
      <c r="I94">
        <v>8396</v>
      </c>
      <c r="J94">
        <v>150</v>
      </c>
      <c r="K94" t="s">
        <v>46</v>
      </c>
      <c r="L94" t="s">
        <v>15</v>
      </c>
      <c r="M94" s="5">
        <v>0.28045655718611695</v>
      </c>
      <c r="N94">
        <f>Posts_1[[#This Row],[Likes]]+Posts_1[[#This Row],[Shares]]+Posts_1[[#This Row],[Comments]]</f>
        <v>2408</v>
      </c>
    </row>
    <row r="95" spans="1:14" x14ac:dyDescent="0.35">
      <c r="A95" t="s">
        <v>223</v>
      </c>
      <c r="B95" t="s">
        <v>30</v>
      </c>
      <c r="C95" s="1">
        <v>45603</v>
      </c>
      <c r="D95" t="s">
        <v>50</v>
      </c>
      <c r="E95">
        <v>2647</v>
      </c>
      <c r="F95">
        <v>304</v>
      </c>
      <c r="G95">
        <v>170</v>
      </c>
      <c r="H95">
        <v>18529</v>
      </c>
      <c r="I95">
        <v>17841</v>
      </c>
      <c r="J95">
        <v>46</v>
      </c>
      <c r="K95" t="s">
        <v>154</v>
      </c>
      <c r="L95" t="s">
        <v>15</v>
      </c>
      <c r="M95" s="5">
        <v>0.16843866371633656</v>
      </c>
      <c r="N95">
        <f>Posts_1[[#This Row],[Likes]]+Posts_1[[#This Row],[Shares]]+Posts_1[[#This Row],[Comments]]</f>
        <v>3121</v>
      </c>
    </row>
    <row r="96" spans="1:14" x14ac:dyDescent="0.35">
      <c r="A96" t="s">
        <v>224</v>
      </c>
      <c r="B96" t="s">
        <v>30</v>
      </c>
      <c r="C96" s="1">
        <v>45604</v>
      </c>
      <c r="D96" t="s">
        <v>54</v>
      </c>
      <c r="E96">
        <v>3182</v>
      </c>
      <c r="F96">
        <v>559</v>
      </c>
      <c r="G96">
        <v>160</v>
      </c>
      <c r="H96">
        <v>57276</v>
      </c>
      <c r="I96">
        <v>56890</v>
      </c>
      <c r="J96">
        <v>163</v>
      </c>
      <c r="K96" t="s">
        <v>154</v>
      </c>
      <c r="L96" t="s">
        <v>19</v>
      </c>
      <c r="M96" s="5">
        <v>6.8108806480899509E-2</v>
      </c>
      <c r="N96">
        <f>Posts_1[[#This Row],[Likes]]+Posts_1[[#This Row],[Shares]]+Posts_1[[#This Row],[Comments]]</f>
        <v>3901</v>
      </c>
    </row>
    <row r="97" spans="1:14" x14ac:dyDescent="0.35">
      <c r="A97" t="s">
        <v>225</v>
      </c>
      <c r="B97" t="s">
        <v>32</v>
      </c>
      <c r="C97" s="1">
        <v>45545</v>
      </c>
      <c r="D97" t="s">
        <v>50</v>
      </c>
      <c r="E97">
        <v>1238</v>
      </c>
      <c r="F97">
        <v>366</v>
      </c>
      <c r="G97">
        <v>444</v>
      </c>
      <c r="H97">
        <v>19808</v>
      </c>
      <c r="I97">
        <v>19334</v>
      </c>
      <c r="J97">
        <v>123</v>
      </c>
      <c r="K97" t="s">
        <v>154</v>
      </c>
      <c r="L97" t="s">
        <v>56</v>
      </c>
      <c r="M97" s="5">
        <v>0.10339256865912763</v>
      </c>
      <c r="N97">
        <f>Posts_1[[#This Row],[Likes]]+Posts_1[[#This Row],[Shares]]+Posts_1[[#This Row],[Comments]]</f>
        <v>2048</v>
      </c>
    </row>
    <row r="98" spans="1:14" x14ac:dyDescent="0.35">
      <c r="A98" t="s">
        <v>226</v>
      </c>
      <c r="B98" t="s">
        <v>30</v>
      </c>
      <c r="C98" s="1">
        <v>45517</v>
      </c>
      <c r="D98" t="s">
        <v>50</v>
      </c>
      <c r="E98">
        <v>4739</v>
      </c>
      <c r="F98">
        <v>527</v>
      </c>
      <c r="G98">
        <v>135</v>
      </c>
      <c r="H98">
        <v>61607</v>
      </c>
      <c r="I98">
        <v>61333</v>
      </c>
      <c r="J98">
        <v>36</v>
      </c>
      <c r="K98" t="s">
        <v>366</v>
      </c>
      <c r="L98" t="s">
        <v>11</v>
      </c>
      <c r="M98" s="5">
        <v>8.7668609086629767E-2</v>
      </c>
      <c r="N98">
        <f>Posts_1[[#This Row],[Likes]]+Posts_1[[#This Row],[Shares]]+Posts_1[[#This Row],[Comments]]</f>
        <v>5401</v>
      </c>
    </row>
    <row r="99" spans="1:14" x14ac:dyDescent="0.35">
      <c r="A99" t="s">
        <v>227</v>
      </c>
      <c r="B99" t="s">
        <v>32</v>
      </c>
      <c r="C99" s="1">
        <v>45453</v>
      </c>
      <c r="D99" t="s">
        <v>45</v>
      </c>
      <c r="E99">
        <v>1575</v>
      </c>
      <c r="F99">
        <v>771</v>
      </c>
      <c r="G99">
        <v>486</v>
      </c>
      <c r="H99">
        <v>25200</v>
      </c>
      <c r="I99">
        <v>24826</v>
      </c>
      <c r="J99">
        <v>17</v>
      </c>
      <c r="K99" t="s">
        <v>154</v>
      </c>
      <c r="L99" t="s">
        <v>19</v>
      </c>
      <c r="M99" s="5">
        <v>0.11238095238095239</v>
      </c>
      <c r="N99">
        <f>Posts_1[[#This Row],[Likes]]+Posts_1[[#This Row],[Shares]]+Posts_1[[#This Row],[Comments]]</f>
        <v>2832</v>
      </c>
    </row>
    <row r="100" spans="1:14" x14ac:dyDescent="0.35">
      <c r="A100" t="s">
        <v>228</v>
      </c>
      <c r="B100" t="s">
        <v>33</v>
      </c>
      <c r="C100" s="1">
        <v>45475</v>
      </c>
      <c r="D100" t="s">
        <v>52</v>
      </c>
      <c r="E100">
        <v>4171</v>
      </c>
      <c r="F100">
        <v>548</v>
      </c>
      <c r="G100">
        <v>86</v>
      </c>
      <c r="H100">
        <v>66736</v>
      </c>
      <c r="I100">
        <v>66634</v>
      </c>
      <c r="J100">
        <v>173</v>
      </c>
      <c r="K100" t="s">
        <v>154</v>
      </c>
      <c r="L100" t="s">
        <v>15</v>
      </c>
      <c r="M100" s="5">
        <v>7.2000119875329657E-2</v>
      </c>
      <c r="N100">
        <f>Posts_1[[#This Row],[Likes]]+Posts_1[[#This Row],[Shares]]+Posts_1[[#This Row],[Comments]]</f>
        <v>4805</v>
      </c>
    </row>
    <row r="101" spans="1:14" x14ac:dyDescent="0.35">
      <c r="A101" t="s">
        <v>79</v>
      </c>
      <c r="B101" t="s">
        <v>33</v>
      </c>
      <c r="C101" s="1">
        <v>45698</v>
      </c>
      <c r="D101" t="s">
        <v>58</v>
      </c>
      <c r="E101">
        <v>1766</v>
      </c>
      <c r="F101">
        <v>92</v>
      </c>
      <c r="G101">
        <v>424</v>
      </c>
      <c r="H101">
        <v>24724</v>
      </c>
      <c r="I101">
        <v>24333</v>
      </c>
      <c r="J101">
        <v>52</v>
      </c>
      <c r="K101" t="s">
        <v>46</v>
      </c>
      <c r="L101" t="s">
        <v>56</v>
      </c>
      <c r="M101" s="5">
        <v>9.2298980747451867E-2</v>
      </c>
      <c r="N101">
        <f>Posts_1[[#This Row],[Likes]]+Posts_1[[#This Row],[Shares]]+Posts_1[[#This Row],[Comments]]</f>
        <v>2282</v>
      </c>
    </row>
    <row r="102" spans="1:14" x14ac:dyDescent="0.35">
      <c r="A102" t="s">
        <v>229</v>
      </c>
      <c r="B102" t="s">
        <v>33</v>
      </c>
      <c r="C102" s="1">
        <v>45583</v>
      </c>
      <c r="D102" t="s">
        <v>58</v>
      </c>
      <c r="E102">
        <v>4450</v>
      </c>
      <c r="F102">
        <v>983</v>
      </c>
      <c r="G102">
        <v>143</v>
      </c>
      <c r="H102">
        <v>75650</v>
      </c>
      <c r="I102">
        <v>75008</v>
      </c>
      <c r="J102">
        <v>12</v>
      </c>
      <c r="K102" t="s">
        <v>154</v>
      </c>
      <c r="L102" t="s">
        <v>15</v>
      </c>
      <c r="M102" s="5">
        <v>7.3707865168539333E-2</v>
      </c>
      <c r="N102">
        <f>Posts_1[[#This Row],[Likes]]+Posts_1[[#This Row],[Shares]]+Posts_1[[#This Row],[Comments]]</f>
        <v>5576</v>
      </c>
    </row>
    <row r="103" spans="1:14" x14ac:dyDescent="0.35">
      <c r="A103" t="s">
        <v>80</v>
      </c>
      <c r="B103" t="s">
        <v>32</v>
      </c>
      <c r="C103" s="1">
        <v>45553</v>
      </c>
      <c r="D103" t="s">
        <v>48</v>
      </c>
      <c r="E103">
        <v>1000</v>
      </c>
      <c r="F103">
        <v>978</v>
      </c>
      <c r="G103">
        <v>162</v>
      </c>
      <c r="H103">
        <v>6000</v>
      </c>
      <c r="I103">
        <v>5221</v>
      </c>
      <c r="J103">
        <v>223</v>
      </c>
      <c r="K103" t="s">
        <v>46</v>
      </c>
      <c r="L103" t="s">
        <v>11</v>
      </c>
      <c r="M103" s="5">
        <v>0.35666666666666669</v>
      </c>
      <c r="N103">
        <f>Posts_1[[#This Row],[Likes]]+Posts_1[[#This Row],[Shares]]+Posts_1[[#This Row],[Comments]]</f>
        <v>2140</v>
      </c>
    </row>
    <row r="104" spans="1:14" x14ac:dyDescent="0.35">
      <c r="A104" t="s">
        <v>81</v>
      </c>
      <c r="B104" t="s">
        <v>31</v>
      </c>
      <c r="C104" s="1">
        <v>45454</v>
      </c>
      <c r="D104" t="s">
        <v>50</v>
      </c>
      <c r="E104">
        <v>3689</v>
      </c>
      <c r="F104">
        <v>48</v>
      </c>
      <c r="G104">
        <v>306</v>
      </c>
      <c r="H104">
        <v>40579</v>
      </c>
      <c r="I104">
        <v>39588</v>
      </c>
      <c r="J104">
        <v>212</v>
      </c>
      <c r="K104" t="s">
        <v>46</v>
      </c>
      <c r="L104" t="s">
        <v>11</v>
      </c>
      <c r="M104" s="5">
        <v>9.9632815002833983E-2</v>
      </c>
      <c r="N104">
        <f>Posts_1[[#This Row],[Likes]]+Posts_1[[#This Row],[Shares]]+Posts_1[[#This Row],[Comments]]</f>
        <v>4043</v>
      </c>
    </row>
    <row r="105" spans="1:14" x14ac:dyDescent="0.35">
      <c r="A105" t="s">
        <v>230</v>
      </c>
      <c r="B105" t="s">
        <v>33</v>
      </c>
      <c r="C105" s="1">
        <v>45739</v>
      </c>
      <c r="D105" t="s">
        <v>45</v>
      </c>
      <c r="E105">
        <v>3655</v>
      </c>
      <c r="F105">
        <v>568</v>
      </c>
      <c r="G105">
        <v>286</v>
      </c>
      <c r="H105">
        <v>32895</v>
      </c>
      <c r="I105">
        <v>32015</v>
      </c>
      <c r="J105">
        <v>199</v>
      </c>
      <c r="K105" t="s">
        <v>157</v>
      </c>
      <c r="L105" t="s">
        <v>15</v>
      </c>
      <c r="M105" s="5">
        <v>0.13707250341997265</v>
      </c>
      <c r="N105">
        <f>Posts_1[[#This Row],[Likes]]+Posts_1[[#This Row],[Shares]]+Posts_1[[#This Row],[Comments]]</f>
        <v>4509</v>
      </c>
    </row>
    <row r="106" spans="1:14" x14ac:dyDescent="0.35">
      <c r="A106" t="s">
        <v>231</v>
      </c>
      <c r="B106" t="s">
        <v>30</v>
      </c>
      <c r="C106" s="1">
        <v>45457</v>
      </c>
      <c r="D106" t="s">
        <v>52</v>
      </c>
      <c r="E106">
        <v>498</v>
      </c>
      <c r="F106">
        <v>38</v>
      </c>
      <c r="G106">
        <v>42</v>
      </c>
      <c r="H106">
        <v>4482</v>
      </c>
      <c r="I106">
        <v>3647</v>
      </c>
      <c r="J106">
        <v>32</v>
      </c>
      <c r="K106" t="s">
        <v>154</v>
      </c>
      <c r="L106" t="s">
        <v>7</v>
      </c>
      <c r="M106" s="5">
        <v>0.12896028558679162</v>
      </c>
      <c r="N106">
        <f>Posts_1[[#This Row],[Likes]]+Posts_1[[#This Row],[Shares]]+Posts_1[[#This Row],[Comments]]</f>
        <v>578</v>
      </c>
    </row>
    <row r="107" spans="1:14" x14ac:dyDescent="0.35">
      <c r="A107" t="s">
        <v>232</v>
      </c>
      <c r="B107" t="s">
        <v>30</v>
      </c>
      <c r="C107" s="1">
        <v>45692</v>
      </c>
      <c r="D107" t="s">
        <v>50</v>
      </c>
      <c r="E107">
        <v>4619</v>
      </c>
      <c r="F107">
        <v>821</v>
      </c>
      <c r="G107">
        <v>499</v>
      </c>
      <c r="H107">
        <v>69285</v>
      </c>
      <c r="I107">
        <v>69141</v>
      </c>
      <c r="J107">
        <v>298</v>
      </c>
      <c r="K107" t="s">
        <v>157</v>
      </c>
      <c r="L107" t="s">
        <v>19</v>
      </c>
      <c r="M107" s="5">
        <v>8.5718409468138843E-2</v>
      </c>
      <c r="N107">
        <f>Posts_1[[#This Row],[Likes]]+Posts_1[[#This Row],[Shares]]+Posts_1[[#This Row],[Comments]]</f>
        <v>5939</v>
      </c>
    </row>
    <row r="108" spans="1:14" x14ac:dyDescent="0.35">
      <c r="A108" t="s">
        <v>233</v>
      </c>
      <c r="B108" t="s">
        <v>33</v>
      </c>
      <c r="C108" s="1">
        <v>45464</v>
      </c>
      <c r="D108" t="s">
        <v>50</v>
      </c>
      <c r="E108">
        <v>4832</v>
      </c>
      <c r="F108">
        <v>893</v>
      </c>
      <c r="G108">
        <v>10</v>
      </c>
      <c r="H108">
        <v>91808</v>
      </c>
      <c r="I108">
        <v>91296</v>
      </c>
      <c r="J108">
        <v>182</v>
      </c>
      <c r="K108" t="s">
        <v>157</v>
      </c>
      <c r="L108" t="s">
        <v>56</v>
      </c>
      <c r="M108" s="5">
        <v>6.2467323109097243E-2</v>
      </c>
      <c r="N108">
        <f>Posts_1[[#This Row],[Likes]]+Posts_1[[#This Row],[Shares]]+Posts_1[[#This Row],[Comments]]</f>
        <v>5735</v>
      </c>
    </row>
    <row r="109" spans="1:14" x14ac:dyDescent="0.35">
      <c r="A109" t="s">
        <v>234</v>
      </c>
      <c r="B109" t="s">
        <v>32</v>
      </c>
      <c r="C109" s="1">
        <v>45741</v>
      </c>
      <c r="D109" t="s">
        <v>58</v>
      </c>
      <c r="E109">
        <v>4050</v>
      </c>
      <c r="F109">
        <v>871</v>
      </c>
      <c r="G109">
        <v>347</v>
      </c>
      <c r="H109">
        <v>52650</v>
      </c>
      <c r="I109">
        <v>51755</v>
      </c>
      <c r="J109">
        <v>209</v>
      </c>
      <c r="K109" t="s">
        <v>157</v>
      </c>
      <c r="L109" t="s">
        <v>11</v>
      </c>
      <c r="M109" s="5">
        <v>0.10005698005698006</v>
      </c>
      <c r="N109">
        <f>Posts_1[[#This Row],[Likes]]+Posts_1[[#This Row],[Shares]]+Posts_1[[#This Row],[Comments]]</f>
        <v>5268</v>
      </c>
    </row>
    <row r="110" spans="1:14" x14ac:dyDescent="0.35">
      <c r="A110" t="s">
        <v>235</v>
      </c>
      <c r="B110" t="s">
        <v>32</v>
      </c>
      <c r="C110" s="1">
        <v>45512</v>
      </c>
      <c r="D110" t="s">
        <v>45</v>
      </c>
      <c r="E110">
        <v>3649</v>
      </c>
      <c r="F110">
        <v>215</v>
      </c>
      <c r="G110">
        <v>413</v>
      </c>
      <c r="H110">
        <v>25543</v>
      </c>
      <c r="I110">
        <v>24963</v>
      </c>
      <c r="J110">
        <v>167</v>
      </c>
      <c r="K110" t="s">
        <v>154</v>
      </c>
      <c r="L110" t="s">
        <v>15</v>
      </c>
      <c r="M110" s="5">
        <v>0.16744313510550835</v>
      </c>
      <c r="N110">
        <f>Posts_1[[#This Row],[Likes]]+Posts_1[[#This Row],[Shares]]+Posts_1[[#This Row],[Comments]]</f>
        <v>4277</v>
      </c>
    </row>
    <row r="111" spans="1:14" x14ac:dyDescent="0.35">
      <c r="A111" t="s">
        <v>82</v>
      </c>
      <c r="B111" t="s">
        <v>30</v>
      </c>
      <c r="C111" s="1">
        <v>45502</v>
      </c>
      <c r="D111" t="s">
        <v>48</v>
      </c>
      <c r="E111">
        <v>3523</v>
      </c>
      <c r="F111">
        <v>753</v>
      </c>
      <c r="G111">
        <v>482</v>
      </c>
      <c r="H111">
        <v>38753</v>
      </c>
      <c r="I111">
        <v>38579</v>
      </c>
      <c r="J111">
        <v>270</v>
      </c>
      <c r="K111" t="s">
        <v>46</v>
      </c>
      <c r="L111" t="s">
        <v>11</v>
      </c>
      <c r="M111" s="5">
        <v>0.12277759141227776</v>
      </c>
      <c r="N111">
        <f>Posts_1[[#This Row],[Likes]]+Posts_1[[#This Row],[Shares]]+Posts_1[[#This Row],[Comments]]</f>
        <v>4758</v>
      </c>
    </row>
    <row r="112" spans="1:14" x14ac:dyDescent="0.35">
      <c r="A112" t="s">
        <v>236</v>
      </c>
      <c r="B112" t="s">
        <v>33</v>
      </c>
      <c r="C112" s="1">
        <v>45619</v>
      </c>
      <c r="D112" t="s">
        <v>50</v>
      </c>
      <c r="E112">
        <v>2719</v>
      </c>
      <c r="F112">
        <v>17</v>
      </c>
      <c r="G112">
        <v>285</v>
      </c>
      <c r="H112">
        <v>40785</v>
      </c>
      <c r="I112">
        <v>40281</v>
      </c>
      <c r="J112">
        <v>40</v>
      </c>
      <c r="K112" t="s">
        <v>157</v>
      </c>
      <c r="L112" t="s">
        <v>11</v>
      </c>
      <c r="M112" s="5">
        <v>7.4071349760941527E-2</v>
      </c>
      <c r="N112">
        <f>Posts_1[[#This Row],[Likes]]+Posts_1[[#This Row],[Shares]]+Posts_1[[#This Row],[Comments]]</f>
        <v>3021</v>
      </c>
    </row>
    <row r="113" spans="1:14" x14ac:dyDescent="0.35">
      <c r="A113" t="s">
        <v>237</v>
      </c>
      <c r="B113" t="s">
        <v>32</v>
      </c>
      <c r="C113" s="1">
        <v>45570</v>
      </c>
      <c r="D113" t="s">
        <v>45</v>
      </c>
      <c r="E113">
        <v>1957</v>
      </c>
      <c r="F113">
        <v>877</v>
      </c>
      <c r="G113">
        <v>238</v>
      </c>
      <c r="H113">
        <v>17613</v>
      </c>
      <c r="I113">
        <v>16865</v>
      </c>
      <c r="J113">
        <v>297</v>
      </c>
      <c r="K113" t="s">
        <v>154</v>
      </c>
      <c r="L113" t="s">
        <v>15</v>
      </c>
      <c r="M113" s="5">
        <v>0.17441662408448305</v>
      </c>
      <c r="N113">
        <f>Posts_1[[#This Row],[Likes]]+Posts_1[[#This Row],[Shares]]+Posts_1[[#This Row],[Comments]]</f>
        <v>3072</v>
      </c>
    </row>
    <row r="114" spans="1:14" x14ac:dyDescent="0.35">
      <c r="A114" t="s">
        <v>83</v>
      </c>
      <c r="B114" t="s">
        <v>32</v>
      </c>
      <c r="C114" s="1">
        <v>45567</v>
      </c>
      <c r="D114" t="s">
        <v>52</v>
      </c>
      <c r="E114">
        <v>4419</v>
      </c>
      <c r="F114">
        <v>236</v>
      </c>
      <c r="G114">
        <v>369</v>
      </c>
      <c r="H114">
        <v>44190</v>
      </c>
      <c r="I114">
        <v>43582</v>
      </c>
      <c r="J114">
        <v>10</v>
      </c>
      <c r="K114" t="s">
        <v>46</v>
      </c>
      <c r="L114" t="s">
        <v>7</v>
      </c>
      <c r="M114" s="5">
        <v>0.11369088028965829</v>
      </c>
      <c r="N114">
        <f>Posts_1[[#This Row],[Likes]]+Posts_1[[#This Row],[Shares]]+Posts_1[[#This Row],[Comments]]</f>
        <v>5024</v>
      </c>
    </row>
    <row r="115" spans="1:14" x14ac:dyDescent="0.35">
      <c r="A115" t="s">
        <v>238</v>
      </c>
      <c r="B115" t="s">
        <v>32</v>
      </c>
      <c r="C115" s="1">
        <v>45610</v>
      </c>
      <c r="D115" t="s">
        <v>45</v>
      </c>
      <c r="E115">
        <v>4000</v>
      </c>
      <c r="F115">
        <v>689</v>
      </c>
      <c r="G115">
        <v>488</v>
      </c>
      <c r="H115">
        <v>40000</v>
      </c>
      <c r="I115">
        <v>39569</v>
      </c>
      <c r="J115">
        <v>44</v>
      </c>
      <c r="K115" t="s">
        <v>154</v>
      </c>
      <c r="L115" t="s">
        <v>7</v>
      </c>
      <c r="M115" s="5">
        <v>0.12942500000000001</v>
      </c>
      <c r="N115">
        <f>Posts_1[[#This Row],[Likes]]+Posts_1[[#This Row],[Shares]]+Posts_1[[#This Row],[Comments]]</f>
        <v>5177</v>
      </c>
    </row>
    <row r="116" spans="1:14" x14ac:dyDescent="0.35">
      <c r="A116" t="s">
        <v>239</v>
      </c>
      <c r="B116" t="s">
        <v>32</v>
      </c>
      <c r="C116" s="1">
        <v>45788</v>
      </c>
      <c r="D116" t="s">
        <v>50</v>
      </c>
      <c r="E116">
        <v>2493</v>
      </c>
      <c r="F116">
        <v>97</v>
      </c>
      <c r="G116">
        <v>44</v>
      </c>
      <c r="H116">
        <v>42381</v>
      </c>
      <c r="I116">
        <v>41991</v>
      </c>
      <c r="J116">
        <v>242</v>
      </c>
      <c r="K116" t="s">
        <v>366</v>
      </c>
      <c r="L116" t="s">
        <v>19</v>
      </c>
      <c r="M116" s="5">
        <v>6.2150491965739366E-2</v>
      </c>
      <c r="N116">
        <f>Posts_1[[#This Row],[Likes]]+Posts_1[[#This Row],[Shares]]+Posts_1[[#This Row],[Comments]]</f>
        <v>2634</v>
      </c>
    </row>
    <row r="117" spans="1:14" x14ac:dyDescent="0.35">
      <c r="A117" t="s">
        <v>240</v>
      </c>
      <c r="B117" t="s">
        <v>33</v>
      </c>
      <c r="C117" s="1">
        <v>45734</v>
      </c>
      <c r="D117" t="s">
        <v>48</v>
      </c>
      <c r="E117">
        <v>3704</v>
      </c>
      <c r="F117">
        <v>186</v>
      </c>
      <c r="G117">
        <v>458</v>
      </c>
      <c r="H117">
        <v>25928</v>
      </c>
      <c r="I117">
        <v>25081</v>
      </c>
      <c r="J117">
        <v>131</v>
      </c>
      <c r="K117" t="s">
        <v>157</v>
      </c>
      <c r="L117" t="s">
        <v>56</v>
      </c>
      <c r="M117" s="5">
        <v>0.16769515581610614</v>
      </c>
      <c r="N117">
        <f>Posts_1[[#This Row],[Likes]]+Posts_1[[#This Row],[Shares]]+Posts_1[[#This Row],[Comments]]</f>
        <v>4348</v>
      </c>
    </row>
    <row r="118" spans="1:14" x14ac:dyDescent="0.35">
      <c r="A118" t="s">
        <v>84</v>
      </c>
      <c r="B118" t="s">
        <v>32</v>
      </c>
      <c r="C118" s="1">
        <v>45600</v>
      </c>
      <c r="D118" t="s">
        <v>50</v>
      </c>
      <c r="E118">
        <v>1606</v>
      </c>
      <c r="F118">
        <v>451</v>
      </c>
      <c r="G118">
        <v>405</v>
      </c>
      <c r="H118">
        <v>20878</v>
      </c>
      <c r="I118">
        <v>20190</v>
      </c>
      <c r="J118">
        <v>219</v>
      </c>
      <c r="K118" t="s">
        <v>46</v>
      </c>
      <c r="L118" t="s">
        <v>19</v>
      </c>
      <c r="M118" s="5">
        <v>0.11792317271769326</v>
      </c>
      <c r="N118">
        <f>Posts_1[[#This Row],[Likes]]+Posts_1[[#This Row],[Shares]]+Posts_1[[#This Row],[Comments]]</f>
        <v>2462</v>
      </c>
    </row>
    <row r="119" spans="1:14" x14ac:dyDescent="0.35">
      <c r="A119" t="s">
        <v>241</v>
      </c>
      <c r="B119" t="s">
        <v>31</v>
      </c>
      <c r="C119" s="1">
        <v>45600</v>
      </c>
      <c r="D119" t="s">
        <v>50</v>
      </c>
      <c r="E119">
        <v>4551</v>
      </c>
      <c r="F119">
        <v>714</v>
      </c>
      <c r="G119">
        <v>207</v>
      </c>
      <c r="H119">
        <v>68265</v>
      </c>
      <c r="I119">
        <v>67754</v>
      </c>
      <c r="J119">
        <v>57</v>
      </c>
      <c r="K119" t="s">
        <v>154</v>
      </c>
      <c r="L119" t="s">
        <v>15</v>
      </c>
      <c r="M119" s="5">
        <v>8.0158206987475278E-2</v>
      </c>
      <c r="N119">
        <f>Posts_1[[#This Row],[Likes]]+Posts_1[[#This Row],[Shares]]+Posts_1[[#This Row],[Comments]]</f>
        <v>5472</v>
      </c>
    </row>
    <row r="120" spans="1:14" x14ac:dyDescent="0.35">
      <c r="A120" t="s">
        <v>242</v>
      </c>
      <c r="B120" t="s">
        <v>30</v>
      </c>
      <c r="C120" s="1">
        <v>45695</v>
      </c>
      <c r="D120" t="s">
        <v>48</v>
      </c>
      <c r="E120">
        <v>1970</v>
      </c>
      <c r="F120">
        <v>675</v>
      </c>
      <c r="G120">
        <v>478</v>
      </c>
      <c r="H120">
        <v>9850</v>
      </c>
      <c r="I120">
        <v>8924</v>
      </c>
      <c r="J120">
        <v>117</v>
      </c>
      <c r="K120" t="s">
        <v>154</v>
      </c>
      <c r="L120" t="s">
        <v>56</v>
      </c>
      <c r="M120" s="5">
        <v>0.31705583756345179</v>
      </c>
      <c r="N120">
        <f>Posts_1[[#This Row],[Likes]]+Posts_1[[#This Row],[Shares]]+Posts_1[[#This Row],[Comments]]</f>
        <v>3123</v>
      </c>
    </row>
    <row r="121" spans="1:14" x14ac:dyDescent="0.35">
      <c r="A121" t="s">
        <v>85</v>
      </c>
      <c r="B121" t="s">
        <v>31</v>
      </c>
      <c r="C121" s="1">
        <v>45586</v>
      </c>
      <c r="D121" t="s">
        <v>45</v>
      </c>
      <c r="E121">
        <v>780</v>
      </c>
      <c r="F121">
        <v>928</v>
      </c>
      <c r="G121">
        <v>301</v>
      </c>
      <c r="H121">
        <v>8580</v>
      </c>
      <c r="I121">
        <v>8081</v>
      </c>
      <c r="J121">
        <v>91</v>
      </c>
      <c r="K121" t="s">
        <v>46</v>
      </c>
      <c r="L121" t="s">
        <v>15</v>
      </c>
      <c r="M121" s="5">
        <v>0.23414918414918415</v>
      </c>
      <c r="N121">
        <f>Posts_1[[#This Row],[Likes]]+Posts_1[[#This Row],[Shares]]+Posts_1[[#This Row],[Comments]]</f>
        <v>2009</v>
      </c>
    </row>
    <row r="122" spans="1:14" x14ac:dyDescent="0.35">
      <c r="A122" t="s">
        <v>243</v>
      </c>
      <c r="B122" t="s">
        <v>30</v>
      </c>
      <c r="C122" s="1">
        <v>45502</v>
      </c>
      <c r="D122" t="s">
        <v>45</v>
      </c>
      <c r="E122">
        <v>498</v>
      </c>
      <c r="F122">
        <v>701</v>
      </c>
      <c r="G122">
        <v>412</v>
      </c>
      <c r="H122">
        <v>4980</v>
      </c>
      <c r="I122">
        <v>4185</v>
      </c>
      <c r="J122">
        <v>185</v>
      </c>
      <c r="K122" t="s">
        <v>154</v>
      </c>
      <c r="L122" t="s">
        <v>56</v>
      </c>
      <c r="M122" s="5">
        <v>0.32349397590361445</v>
      </c>
      <c r="N122">
        <f>Posts_1[[#This Row],[Likes]]+Posts_1[[#This Row],[Shares]]+Posts_1[[#This Row],[Comments]]</f>
        <v>1611</v>
      </c>
    </row>
    <row r="123" spans="1:14" x14ac:dyDescent="0.35">
      <c r="A123" t="s">
        <v>86</v>
      </c>
      <c r="B123" t="s">
        <v>30</v>
      </c>
      <c r="C123" s="1">
        <v>45567</v>
      </c>
      <c r="D123" t="s">
        <v>54</v>
      </c>
      <c r="E123">
        <v>3432</v>
      </c>
      <c r="F123">
        <v>869</v>
      </c>
      <c r="G123">
        <v>123</v>
      </c>
      <c r="H123">
        <v>54912</v>
      </c>
      <c r="I123">
        <v>53916</v>
      </c>
      <c r="J123">
        <v>264</v>
      </c>
      <c r="K123" t="s">
        <v>46</v>
      </c>
      <c r="L123" t="s">
        <v>11</v>
      </c>
      <c r="M123" s="5">
        <v>8.0565268065268064E-2</v>
      </c>
      <c r="N123">
        <f>Posts_1[[#This Row],[Likes]]+Posts_1[[#This Row],[Shares]]+Posts_1[[#This Row],[Comments]]</f>
        <v>4424</v>
      </c>
    </row>
    <row r="124" spans="1:14" x14ac:dyDescent="0.35">
      <c r="A124" t="s">
        <v>87</v>
      </c>
      <c r="B124" t="s">
        <v>30</v>
      </c>
      <c r="C124" s="1">
        <v>45457</v>
      </c>
      <c r="D124" t="s">
        <v>45</v>
      </c>
      <c r="E124">
        <v>4363</v>
      </c>
      <c r="F124">
        <v>649</v>
      </c>
      <c r="G124">
        <v>140</v>
      </c>
      <c r="H124">
        <v>21815</v>
      </c>
      <c r="I124">
        <v>21481</v>
      </c>
      <c r="J124">
        <v>157</v>
      </c>
      <c r="K124" t="s">
        <v>46</v>
      </c>
      <c r="L124" t="s">
        <v>7</v>
      </c>
      <c r="M124" s="5">
        <v>0.23616777446710979</v>
      </c>
      <c r="N124">
        <f>Posts_1[[#This Row],[Likes]]+Posts_1[[#This Row],[Shares]]+Posts_1[[#This Row],[Comments]]</f>
        <v>5152</v>
      </c>
    </row>
    <row r="125" spans="1:14" x14ac:dyDescent="0.35">
      <c r="A125" t="s">
        <v>88</v>
      </c>
      <c r="B125" t="s">
        <v>33</v>
      </c>
      <c r="C125" s="1">
        <v>45753</v>
      </c>
      <c r="D125" t="s">
        <v>52</v>
      </c>
      <c r="E125">
        <v>736</v>
      </c>
      <c r="F125">
        <v>771</v>
      </c>
      <c r="G125">
        <v>225</v>
      </c>
      <c r="H125">
        <v>5152</v>
      </c>
      <c r="I125">
        <v>4706</v>
      </c>
      <c r="J125">
        <v>19</v>
      </c>
      <c r="K125" t="s">
        <v>46</v>
      </c>
      <c r="L125" t="s">
        <v>7</v>
      </c>
      <c r="M125" s="5">
        <v>0.33618012422360249</v>
      </c>
      <c r="N125">
        <f>Posts_1[[#This Row],[Likes]]+Posts_1[[#This Row],[Shares]]+Posts_1[[#This Row],[Comments]]</f>
        <v>1732</v>
      </c>
    </row>
    <row r="126" spans="1:14" x14ac:dyDescent="0.35">
      <c r="A126" t="s">
        <v>244</v>
      </c>
      <c r="B126" t="s">
        <v>32</v>
      </c>
      <c r="C126" s="1">
        <v>45543</v>
      </c>
      <c r="D126" t="s">
        <v>52</v>
      </c>
      <c r="E126">
        <v>3811</v>
      </c>
      <c r="F126">
        <v>866</v>
      </c>
      <c r="G126">
        <v>216</v>
      </c>
      <c r="H126">
        <v>34299</v>
      </c>
      <c r="I126">
        <v>34088</v>
      </c>
      <c r="J126">
        <v>233</v>
      </c>
      <c r="K126" t="s">
        <v>157</v>
      </c>
      <c r="L126" t="s">
        <v>19</v>
      </c>
      <c r="M126" s="5">
        <v>0.14265722032712325</v>
      </c>
      <c r="N126">
        <f>Posts_1[[#This Row],[Likes]]+Posts_1[[#This Row],[Shares]]+Posts_1[[#This Row],[Comments]]</f>
        <v>4893</v>
      </c>
    </row>
    <row r="127" spans="1:14" x14ac:dyDescent="0.35">
      <c r="A127" t="s">
        <v>245</v>
      </c>
      <c r="B127" t="s">
        <v>30</v>
      </c>
      <c r="C127" s="1">
        <v>45744</v>
      </c>
      <c r="D127" t="s">
        <v>52</v>
      </c>
      <c r="E127">
        <v>4158</v>
      </c>
      <c r="F127">
        <v>167</v>
      </c>
      <c r="G127">
        <v>241</v>
      </c>
      <c r="H127">
        <v>45738</v>
      </c>
      <c r="I127">
        <v>45183</v>
      </c>
      <c r="J127">
        <v>142</v>
      </c>
      <c r="K127" t="s">
        <v>154</v>
      </c>
      <c r="L127" t="s">
        <v>56</v>
      </c>
      <c r="M127" s="5">
        <v>9.9829463465827106E-2</v>
      </c>
      <c r="N127">
        <f>Posts_1[[#This Row],[Likes]]+Posts_1[[#This Row],[Shares]]+Posts_1[[#This Row],[Comments]]</f>
        <v>4566</v>
      </c>
    </row>
    <row r="128" spans="1:14" x14ac:dyDescent="0.35">
      <c r="A128" t="s">
        <v>246</v>
      </c>
      <c r="B128" t="s">
        <v>31</v>
      </c>
      <c r="C128" s="1">
        <v>45684</v>
      </c>
      <c r="D128" t="s">
        <v>48</v>
      </c>
      <c r="E128">
        <v>3452</v>
      </c>
      <c r="F128">
        <v>652</v>
      </c>
      <c r="G128">
        <v>442</v>
      </c>
      <c r="H128">
        <v>65588</v>
      </c>
      <c r="I128">
        <v>65049</v>
      </c>
      <c r="J128">
        <v>158</v>
      </c>
      <c r="K128" t="s">
        <v>154</v>
      </c>
      <c r="L128" t="s">
        <v>15</v>
      </c>
      <c r="M128" s="5">
        <v>6.9311459413307311E-2</v>
      </c>
      <c r="N128">
        <f>Posts_1[[#This Row],[Likes]]+Posts_1[[#This Row],[Shares]]+Posts_1[[#This Row],[Comments]]</f>
        <v>4546</v>
      </c>
    </row>
    <row r="129" spans="1:14" x14ac:dyDescent="0.35">
      <c r="A129" t="s">
        <v>247</v>
      </c>
      <c r="B129" t="s">
        <v>32</v>
      </c>
      <c r="C129" s="1">
        <v>45667</v>
      </c>
      <c r="D129" t="s">
        <v>50</v>
      </c>
      <c r="E129">
        <v>3092</v>
      </c>
      <c r="F129">
        <v>106</v>
      </c>
      <c r="G129">
        <v>291</v>
      </c>
      <c r="H129">
        <v>27828</v>
      </c>
      <c r="I129">
        <v>27217</v>
      </c>
      <c r="J129">
        <v>102</v>
      </c>
      <c r="K129" t="s">
        <v>154</v>
      </c>
      <c r="L129" t="s">
        <v>56</v>
      </c>
      <c r="M129" s="5">
        <v>0.12537731780940059</v>
      </c>
      <c r="N129">
        <f>Posts_1[[#This Row],[Likes]]+Posts_1[[#This Row],[Shares]]+Posts_1[[#This Row],[Comments]]</f>
        <v>3489</v>
      </c>
    </row>
    <row r="130" spans="1:14" x14ac:dyDescent="0.35">
      <c r="A130" t="s">
        <v>248</v>
      </c>
      <c r="B130" t="s">
        <v>32</v>
      </c>
      <c r="C130" s="1">
        <v>45494</v>
      </c>
      <c r="D130" t="s">
        <v>54</v>
      </c>
      <c r="E130">
        <v>2147</v>
      </c>
      <c r="F130">
        <v>430</v>
      </c>
      <c r="G130">
        <v>393</v>
      </c>
      <c r="H130">
        <v>17176</v>
      </c>
      <c r="I130">
        <v>16483</v>
      </c>
      <c r="J130">
        <v>170</v>
      </c>
      <c r="K130" t="s">
        <v>157</v>
      </c>
      <c r="L130" t="s">
        <v>56</v>
      </c>
      <c r="M130" s="5">
        <v>0.17291569632044715</v>
      </c>
      <c r="N130">
        <f>Posts_1[[#This Row],[Likes]]+Posts_1[[#This Row],[Shares]]+Posts_1[[#This Row],[Comments]]</f>
        <v>2970</v>
      </c>
    </row>
    <row r="131" spans="1:14" x14ac:dyDescent="0.35">
      <c r="A131" t="s">
        <v>89</v>
      </c>
      <c r="B131" t="s">
        <v>33</v>
      </c>
      <c r="C131" s="1">
        <v>45564</v>
      </c>
      <c r="D131" t="s">
        <v>48</v>
      </c>
      <c r="E131">
        <v>2936</v>
      </c>
      <c r="F131">
        <v>439</v>
      </c>
      <c r="G131">
        <v>44</v>
      </c>
      <c r="H131">
        <v>38168</v>
      </c>
      <c r="I131">
        <v>37571</v>
      </c>
      <c r="J131">
        <v>22</v>
      </c>
      <c r="K131" t="s">
        <v>46</v>
      </c>
      <c r="L131" t="s">
        <v>19</v>
      </c>
      <c r="M131" s="5">
        <v>8.9577656675749323E-2</v>
      </c>
      <c r="N131">
        <f>Posts_1[[#This Row],[Likes]]+Posts_1[[#This Row],[Shares]]+Posts_1[[#This Row],[Comments]]</f>
        <v>3419</v>
      </c>
    </row>
    <row r="132" spans="1:14" x14ac:dyDescent="0.35">
      <c r="A132" t="s">
        <v>249</v>
      </c>
      <c r="B132" t="s">
        <v>30</v>
      </c>
      <c r="C132" s="1">
        <v>45586</v>
      </c>
      <c r="D132" t="s">
        <v>48</v>
      </c>
      <c r="E132">
        <v>4840</v>
      </c>
      <c r="F132">
        <v>658</v>
      </c>
      <c r="G132">
        <v>211</v>
      </c>
      <c r="H132">
        <v>43560</v>
      </c>
      <c r="I132">
        <v>43225</v>
      </c>
      <c r="J132">
        <v>57</v>
      </c>
      <c r="K132" t="s">
        <v>154</v>
      </c>
      <c r="L132" t="s">
        <v>15</v>
      </c>
      <c r="M132" s="5">
        <v>0.13106060606060607</v>
      </c>
      <c r="N132">
        <f>Posts_1[[#This Row],[Likes]]+Posts_1[[#This Row],[Shares]]+Posts_1[[#This Row],[Comments]]</f>
        <v>5709</v>
      </c>
    </row>
    <row r="133" spans="1:14" x14ac:dyDescent="0.35">
      <c r="A133" t="s">
        <v>250</v>
      </c>
      <c r="B133" t="s">
        <v>30</v>
      </c>
      <c r="C133" s="1">
        <v>45720</v>
      </c>
      <c r="D133" t="s">
        <v>45</v>
      </c>
      <c r="E133">
        <v>1947</v>
      </c>
      <c r="F133">
        <v>842</v>
      </c>
      <c r="G133">
        <v>101</v>
      </c>
      <c r="H133">
        <v>21417</v>
      </c>
      <c r="I133">
        <v>20967</v>
      </c>
      <c r="J133">
        <v>186</v>
      </c>
      <c r="K133" t="s">
        <v>154</v>
      </c>
      <c r="L133" t="s">
        <v>11</v>
      </c>
      <c r="M133" s="5">
        <v>0.13493953401503478</v>
      </c>
      <c r="N133">
        <f>Posts_1[[#This Row],[Likes]]+Posts_1[[#This Row],[Shares]]+Posts_1[[#This Row],[Comments]]</f>
        <v>2890</v>
      </c>
    </row>
    <row r="134" spans="1:14" x14ac:dyDescent="0.35">
      <c r="A134" t="s">
        <v>251</v>
      </c>
      <c r="B134" t="s">
        <v>31</v>
      </c>
      <c r="C134" s="1">
        <v>45694</v>
      </c>
      <c r="D134" t="s">
        <v>50</v>
      </c>
      <c r="E134">
        <v>2072</v>
      </c>
      <c r="F134">
        <v>532</v>
      </c>
      <c r="G134">
        <v>71</v>
      </c>
      <c r="H134">
        <v>37296</v>
      </c>
      <c r="I134">
        <v>36467</v>
      </c>
      <c r="J134">
        <v>25</v>
      </c>
      <c r="K134" t="s">
        <v>157</v>
      </c>
      <c r="L134" t="s">
        <v>19</v>
      </c>
      <c r="M134" s="5">
        <v>7.172350922350923E-2</v>
      </c>
      <c r="N134">
        <f>Posts_1[[#This Row],[Likes]]+Posts_1[[#This Row],[Shares]]+Posts_1[[#This Row],[Comments]]</f>
        <v>2675</v>
      </c>
    </row>
    <row r="135" spans="1:14" x14ac:dyDescent="0.35">
      <c r="A135" t="s">
        <v>252</v>
      </c>
      <c r="B135" t="s">
        <v>32</v>
      </c>
      <c r="C135" s="1">
        <v>45771</v>
      </c>
      <c r="D135" t="s">
        <v>48</v>
      </c>
      <c r="E135">
        <v>3731</v>
      </c>
      <c r="F135">
        <v>115</v>
      </c>
      <c r="G135">
        <v>135</v>
      </c>
      <c r="H135">
        <v>55965</v>
      </c>
      <c r="I135">
        <v>55436</v>
      </c>
      <c r="J135">
        <v>103</v>
      </c>
      <c r="K135" t="s">
        <v>157</v>
      </c>
      <c r="L135" t="s">
        <v>7</v>
      </c>
      <c r="M135" s="5">
        <v>7.1133744304476013E-2</v>
      </c>
      <c r="N135">
        <f>Posts_1[[#This Row],[Likes]]+Posts_1[[#This Row],[Shares]]+Posts_1[[#This Row],[Comments]]</f>
        <v>3981</v>
      </c>
    </row>
    <row r="136" spans="1:14" x14ac:dyDescent="0.35">
      <c r="A136" t="s">
        <v>253</v>
      </c>
      <c r="B136" t="s">
        <v>31</v>
      </c>
      <c r="C136" s="1">
        <v>45624</v>
      </c>
      <c r="D136" t="s">
        <v>54</v>
      </c>
      <c r="E136">
        <v>4213</v>
      </c>
      <c r="F136">
        <v>253</v>
      </c>
      <c r="G136">
        <v>434</v>
      </c>
      <c r="H136">
        <v>75834</v>
      </c>
      <c r="I136">
        <v>75437</v>
      </c>
      <c r="J136">
        <v>272</v>
      </c>
      <c r="K136" t="s">
        <v>154</v>
      </c>
      <c r="L136" t="s">
        <v>19</v>
      </c>
      <c r="M136" s="5">
        <v>6.461481657304112E-2</v>
      </c>
      <c r="N136">
        <f>Posts_1[[#This Row],[Likes]]+Posts_1[[#This Row],[Shares]]+Posts_1[[#This Row],[Comments]]</f>
        <v>4900</v>
      </c>
    </row>
    <row r="137" spans="1:14" x14ac:dyDescent="0.35">
      <c r="A137" t="s">
        <v>90</v>
      </c>
      <c r="B137" t="s">
        <v>30</v>
      </c>
      <c r="C137" s="1">
        <v>45484</v>
      </c>
      <c r="D137" t="s">
        <v>54</v>
      </c>
      <c r="E137">
        <v>3134</v>
      </c>
      <c r="F137">
        <v>888</v>
      </c>
      <c r="G137">
        <v>444</v>
      </c>
      <c r="H137">
        <v>21938</v>
      </c>
      <c r="I137">
        <v>21337</v>
      </c>
      <c r="J137">
        <v>130</v>
      </c>
      <c r="K137" t="s">
        <v>46</v>
      </c>
      <c r="L137" t="s">
        <v>19</v>
      </c>
      <c r="M137" s="5">
        <v>0.20357370772176134</v>
      </c>
      <c r="N137">
        <f>Posts_1[[#This Row],[Likes]]+Posts_1[[#This Row],[Shares]]+Posts_1[[#This Row],[Comments]]</f>
        <v>4466</v>
      </c>
    </row>
    <row r="138" spans="1:14" x14ac:dyDescent="0.35">
      <c r="A138" t="s">
        <v>254</v>
      </c>
      <c r="B138" t="s">
        <v>31</v>
      </c>
      <c r="C138" s="1">
        <v>45504</v>
      </c>
      <c r="D138" t="s">
        <v>58</v>
      </c>
      <c r="E138">
        <v>3008</v>
      </c>
      <c r="F138">
        <v>94</v>
      </c>
      <c r="G138">
        <v>37</v>
      </c>
      <c r="H138">
        <v>15040</v>
      </c>
      <c r="I138">
        <v>14639</v>
      </c>
      <c r="J138">
        <v>277</v>
      </c>
      <c r="K138" t="s">
        <v>154</v>
      </c>
      <c r="L138" t="s">
        <v>56</v>
      </c>
      <c r="M138" s="5">
        <v>0.20871010638297871</v>
      </c>
      <c r="N138">
        <f>Posts_1[[#This Row],[Likes]]+Posts_1[[#This Row],[Shares]]+Posts_1[[#This Row],[Comments]]</f>
        <v>3139</v>
      </c>
    </row>
    <row r="139" spans="1:14" x14ac:dyDescent="0.35">
      <c r="A139" t="s">
        <v>255</v>
      </c>
      <c r="B139" t="s">
        <v>32</v>
      </c>
      <c r="C139" s="1">
        <v>45745</v>
      </c>
      <c r="D139" t="s">
        <v>50</v>
      </c>
      <c r="E139">
        <v>305</v>
      </c>
      <c r="F139">
        <v>187</v>
      </c>
      <c r="G139">
        <v>243</v>
      </c>
      <c r="H139">
        <v>4575</v>
      </c>
      <c r="I139">
        <v>3704</v>
      </c>
      <c r="J139">
        <v>234</v>
      </c>
      <c r="K139" t="s">
        <v>154</v>
      </c>
      <c r="L139" t="s">
        <v>15</v>
      </c>
      <c r="M139" s="5">
        <v>0.16065573770491803</v>
      </c>
      <c r="N139">
        <f>Posts_1[[#This Row],[Likes]]+Posts_1[[#This Row],[Shares]]+Posts_1[[#This Row],[Comments]]</f>
        <v>735</v>
      </c>
    </row>
    <row r="140" spans="1:14" x14ac:dyDescent="0.35">
      <c r="A140" t="s">
        <v>91</v>
      </c>
      <c r="B140" t="s">
        <v>33</v>
      </c>
      <c r="C140" s="1">
        <v>45594</v>
      </c>
      <c r="D140" t="s">
        <v>54</v>
      </c>
      <c r="E140">
        <v>2746</v>
      </c>
      <c r="F140">
        <v>156</v>
      </c>
      <c r="G140">
        <v>203</v>
      </c>
      <c r="H140">
        <v>32952</v>
      </c>
      <c r="I140">
        <v>32147</v>
      </c>
      <c r="J140">
        <v>147</v>
      </c>
      <c r="K140" t="s">
        <v>46</v>
      </c>
      <c r="L140" t="s">
        <v>7</v>
      </c>
      <c r="M140" s="5">
        <v>9.422796795338674E-2</v>
      </c>
      <c r="N140">
        <f>Posts_1[[#This Row],[Likes]]+Posts_1[[#This Row],[Shares]]+Posts_1[[#This Row],[Comments]]</f>
        <v>3105</v>
      </c>
    </row>
    <row r="141" spans="1:14" x14ac:dyDescent="0.35">
      <c r="A141" t="s">
        <v>92</v>
      </c>
      <c r="B141" t="s">
        <v>31</v>
      </c>
      <c r="C141" s="1">
        <v>45488</v>
      </c>
      <c r="D141" t="s">
        <v>50</v>
      </c>
      <c r="E141">
        <v>2291</v>
      </c>
      <c r="F141">
        <v>78</v>
      </c>
      <c r="G141">
        <v>485</v>
      </c>
      <c r="H141">
        <v>18328</v>
      </c>
      <c r="I141">
        <v>18101</v>
      </c>
      <c r="J141">
        <v>10</v>
      </c>
      <c r="K141" t="s">
        <v>370</v>
      </c>
      <c r="L141" t="s">
        <v>11</v>
      </c>
      <c r="M141" s="5">
        <v>0.15571802706241816</v>
      </c>
      <c r="N141">
        <f>Posts_1[[#This Row],[Likes]]+Posts_1[[#This Row],[Shares]]+Posts_1[[#This Row],[Comments]]</f>
        <v>2854</v>
      </c>
    </row>
    <row r="142" spans="1:14" x14ac:dyDescent="0.35">
      <c r="A142" t="s">
        <v>256</v>
      </c>
      <c r="B142" t="s">
        <v>32</v>
      </c>
      <c r="C142" s="1">
        <v>45535</v>
      </c>
      <c r="D142" t="s">
        <v>50</v>
      </c>
      <c r="E142">
        <v>3170</v>
      </c>
      <c r="F142">
        <v>857</v>
      </c>
      <c r="G142">
        <v>379</v>
      </c>
      <c r="H142">
        <v>19020</v>
      </c>
      <c r="I142">
        <v>18559</v>
      </c>
      <c r="J142">
        <v>240</v>
      </c>
      <c r="K142" t="s">
        <v>154</v>
      </c>
      <c r="L142" t="s">
        <v>56</v>
      </c>
      <c r="M142" s="5">
        <v>0.2316508937960042</v>
      </c>
      <c r="N142">
        <f>Posts_1[[#This Row],[Likes]]+Posts_1[[#This Row],[Shares]]+Posts_1[[#This Row],[Comments]]</f>
        <v>4406</v>
      </c>
    </row>
    <row r="143" spans="1:14" x14ac:dyDescent="0.35">
      <c r="A143" t="s">
        <v>257</v>
      </c>
      <c r="B143" t="s">
        <v>33</v>
      </c>
      <c r="C143" s="1">
        <v>45741</v>
      </c>
      <c r="D143" t="s">
        <v>45</v>
      </c>
      <c r="E143">
        <v>2070</v>
      </c>
      <c r="F143">
        <v>275</v>
      </c>
      <c r="G143">
        <v>386</v>
      </c>
      <c r="H143">
        <v>39330</v>
      </c>
      <c r="I143">
        <v>38627</v>
      </c>
      <c r="J143">
        <v>114</v>
      </c>
      <c r="K143" t="s">
        <v>154</v>
      </c>
      <c r="L143" t="s">
        <v>19</v>
      </c>
      <c r="M143" s="5">
        <v>6.9438087973557078E-2</v>
      </c>
      <c r="N143">
        <f>Posts_1[[#This Row],[Likes]]+Posts_1[[#This Row],[Shares]]+Posts_1[[#This Row],[Comments]]</f>
        <v>2731</v>
      </c>
    </row>
    <row r="144" spans="1:14" x14ac:dyDescent="0.35">
      <c r="A144" t="s">
        <v>258</v>
      </c>
      <c r="B144" t="s">
        <v>33</v>
      </c>
      <c r="C144" s="1">
        <v>45567</v>
      </c>
      <c r="D144" t="s">
        <v>52</v>
      </c>
      <c r="E144">
        <v>80</v>
      </c>
      <c r="F144">
        <v>362</v>
      </c>
      <c r="G144">
        <v>80</v>
      </c>
      <c r="H144">
        <v>1040</v>
      </c>
      <c r="I144">
        <v>349</v>
      </c>
      <c r="J144">
        <v>117</v>
      </c>
      <c r="K144" t="s">
        <v>157</v>
      </c>
      <c r="L144" t="s">
        <v>15</v>
      </c>
      <c r="M144" s="5">
        <v>0.50192307692307692</v>
      </c>
      <c r="N144">
        <f>Posts_1[[#This Row],[Likes]]+Posts_1[[#This Row],[Shares]]+Posts_1[[#This Row],[Comments]]</f>
        <v>522</v>
      </c>
    </row>
    <row r="145" spans="1:14" x14ac:dyDescent="0.35">
      <c r="A145" t="s">
        <v>93</v>
      </c>
      <c r="B145" t="s">
        <v>33</v>
      </c>
      <c r="C145" s="1">
        <v>45593</v>
      </c>
      <c r="D145" t="s">
        <v>45</v>
      </c>
      <c r="E145">
        <v>4929</v>
      </c>
      <c r="F145">
        <v>749</v>
      </c>
      <c r="G145">
        <v>452</v>
      </c>
      <c r="H145">
        <v>93651</v>
      </c>
      <c r="I145">
        <v>92810</v>
      </c>
      <c r="J145">
        <v>66</v>
      </c>
      <c r="K145" t="s">
        <v>46</v>
      </c>
      <c r="L145" t="s">
        <v>19</v>
      </c>
      <c r="M145" s="5">
        <v>6.5455787978772245E-2</v>
      </c>
      <c r="N145">
        <f>Posts_1[[#This Row],[Likes]]+Posts_1[[#This Row],[Shares]]+Posts_1[[#This Row],[Comments]]</f>
        <v>6130</v>
      </c>
    </row>
    <row r="146" spans="1:14" x14ac:dyDescent="0.35">
      <c r="A146" t="s">
        <v>259</v>
      </c>
      <c r="B146" t="s">
        <v>30</v>
      </c>
      <c r="C146" s="1">
        <v>45516</v>
      </c>
      <c r="D146" t="s">
        <v>52</v>
      </c>
      <c r="E146">
        <v>1878</v>
      </c>
      <c r="F146">
        <v>62</v>
      </c>
      <c r="G146">
        <v>179</v>
      </c>
      <c r="H146">
        <v>37560</v>
      </c>
      <c r="I146">
        <v>36874</v>
      </c>
      <c r="J146">
        <v>142</v>
      </c>
      <c r="K146" t="s">
        <v>157</v>
      </c>
      <c r="L146" t="s">
        <v>19</v>
      </c>
      <c r="M146" s="5">
        <v>5.6416400425985093E-2</v>
      </c>
      <c r="N146">
        <f>Posts_1[[#This Row],[Likes]]+Posts_1[[#This Row],[Shares]]+Posts_1[[#This Row],[Comments]]</f>
        <v>2119</v>
      </c>
    </row>
    <row r="147" spans="1:14" x14ac:dyDescent="0.35">
      <c r="A147" t="s">
        <v>94</v>
      </c>
      <c r="B147" t="s">
        <v>33</v>
      </c>
      <c r="C147" s="1">
        <v>45448</v>
      </c>
      <c r="D147" t="s">
        <v>48</v>
      </c>
      <c r="E147">
        <v>3065</v>
      </c>
      <c r="F147">
        <v>772</v>
      </c>
      <c r="G147">
        <v>142</v>
      </c>
      <c r="H147">
        <v>18390</v>
      </c>
      <c r="I147">
        <v>17875</v>
      </c>
      <c r="J147">
        <v>200</v>
      </c>
      <c r="K147" t="s">
        <v>371</v>
      </c>
      <c r="L147" t="s">
        <v>56</v>
      </c>
      <c r="M147" s="5">
        <v>0.21636759108210984</v>
      </c>
      <c r="N147">
        <f>Posts_1[[#This Row],[Likes]]+Posts_1[[#This Row],[Shares]]+Posts_1[[#This Row],[Comments]]</f>
        <v>3979</v>
      </c>
    </row>
    <row r="148" spans="1:14" x14ac:dyDescent="0.35">
      <c r="A148" t="s">
        <v>260</v>
      </c>
      <c r="B148" t="s">
        <v>30</v>
      </c>
      <c r="C148" s="1">
        <v>45586</v>
      </c>
      <c r="D148" t="s">
        <v>48</v>
      </c>
      <c r="E148">
        <v>3256</v>
      </c>
      <c r="F148">
        <v>459</v>
      </c>
      <c r="G148">
        <v>266</v>
      </c>
      <c r="H148">
        <v>26048</v>
      </c>
      <c r="I148">
        <v>25529</v>
      </c>
      <c r="J148">
        <v>143</v>
      </c>
      <c r="K148" t="s">
        <v>157</v>
      </c>
      <c r="L148" t="s">
        <v>11</v>
      </c>
      <c r="M148" s="5">
        <v>0.15283323095823095</v>
      </c>
      <c r="N148">
        <f>Posts_1[[#This Row],[Likes]]+Posts_1[[#This Row],[Shares]]+Posts_1[[#This Row],[Comments]]</f>
        <v>3981</v>
      </c>
    </row>
    <row r="149" spans="1:14" x14ac:dyDescent="0.35">
      <c r="A149" t="s">
        <v>95</v>
      </c>
      <c r="B149" t="s">
        <v>30</v>
      </c>
      <c r="C149" s="1">
        <v>45762</v>
      </c>
      <c r="D149" t="s">
        <v>58</v>
      </c>
      <c r="E149">
        <v>4133</v>
      </c>
      <c r="F149">
        <v>466</v>
      </c>
      <c r="G149">
        <v>327</v>
      </c>
      <c r="H149">
        <v>24798</v>
      </c>
      <c r="I149">
        <v>24620</v>
      </c>
      <c r="J149">
        <v>176</v>
      </c>
      <c r="K149" t="s">
        <v>46</v>
      </c>
      <c r="L149" t="s">
        <v>19</v>
      </c>
      <c r="M149" s="5">
        <v>0.19864505202032423</v>
      </c>
      <c r="N149">
        <f>Posts_1[[#This Row],[Likes]]+Posts_1[[#This Row],[Shares]]+Posts_1[[#This Row],[Comments]]</f>
        <v>4926</v>
      </c>
    </row>
    <row r="150" spans="1:14" x14ac:dyDescent="0.35">
      <c r="A150" t="s">
        <v>96</v>
      </c>
      <c r="B150" t="s">
        <v>32</v>
      </c>
      <c r="C150" s="1">
        <v>45459</v>
      </c>
      <c r="D150" t="s">
        <v>58</v>
      </c>
      <c r="E150">
        <v>1702</v>
      </c>
      <c r="F150">
        <v>750</v>
      </c>
      <c r="G150">
        <v>179</v>
      </c>
      <c r="H150">
        <v>34040</v>
      </c>
      <c r="I150">
        <v>33174</v>
      </c>
      <c r="J150">
        <v>76</v>
      </c>
      <c r="K150" t="s">
        <v>46</v>
      </c>
      <c r="L150" t="s">
        <v>7</v>
      </c>
      <c r="M150" s="5">
        <v>7.7291421856639245E-2</v>
      </c>
      <c r="N150">
        <f>Posts_1[[#This Row],[Likes]]+Posts_1[[#This Row],[Shares]]+Posts_1[[#This Row],[Comments]]</f>
        <v>2631</v>
      </c>
    </row>
    <row r="151" spans="1:14" x14ac:dyDescent="0.35">
      <c r="A151" t="s">
        <v>261</v>
      </c>
      <c r="B151" t="s">
        <v>33</v>
      </c>
      <c r="C151" s="1">
        <v>45526</v>
      </c>
      <c r="D151" t="s">
        <v>52</v>
      </c>
      <c r="E151">
        <v>4295</v>
      </c>
      <c r="F151">
        <v>853</v>
      </c>
      <c r="G151">
        <v>325</v>
      </c>
      <c r="H151">
        <v>85900</v>
      </c>
      <c r="I151">
        <v>85788</v>
      </c>
      <c r="J151">
        <v>290</v>
      </c>
      <c r="K151" t="s">
        <v>157</v>
      </c>
      <c r="L151" t="s">
        <v>19</v>
      </c>
      <c r="M151" s="5">
        <v>6.3713620488940623E-2</v>
      </c>
      <c r="N151">
        <f>Posts_1[[#This Row],[Likes]]+Posts_1[[#This Row],[Shares]]+Posts_1[[#This Row],[Comments]]</f>
        <v>5473</v>
      </c>
    </row>
    <row r="152" spans="1:14" x14ac:dyDescent="0.35">
      <c r="A152" t="s">
        <v>97</v>
      </c>
      <c r="B152" t="s">
        <v>30</v>
      </c>
      <c r="C152" s="1">
        <v>45499</v>
      </c>
      <c r="D152" t="s">
        <v>50</v>
      </c>
      <c r="E152">
        <v>3559</v>
      </c>
      <c r="F152">
        <v>59</v>
      </c>
      <c r="G152">
        <v>289</v>
      </c>
      <c r="H152">
        <v>35590</v>
      </c>
      <c r="I152">
        <v>35105</v>
      </c>
      <c r="J152">
        <v>122</v>
      </c>
      <c r="K152" t="s">
        <v>46</v>
      </c>
      <c r="L152" t="s">
        <v>7</v>
      </c>
      <c r="M152" s="5">
        <v>0.10977802753582468</v>
      </c>
      <c r="N152">
        <f>Posts_1[[#This Row],[Likes]]+Posts_1[[#This Row],[Shares]]+Posts_1[[#This Row],[Comments]]</f>
        <v>3907</v>
      </c>
    </row>
    <row r="153" spans="1:14" x14ac:dyDescent="0.35">
      <c r="A153" t="s">
        <v>98</v>
      </c>
      <c r="B153" t="s">
        <v>31</v>
      </c>
      <c r="C153" s="1">
        <v>45769</v>
      </c>
      <c r="D153" t="s">
        <v>50</v>
      </c>
      <c r="E153">
        <v>4804</v>
      </c>
      <c r="F153">
        <v>550</v>
      </c>
      <c r="G153">
        <v>270</v>
      </c>
      <c r="H153">
        <v>28824</v>
      </c>
      <c r="I153">
        <v>28370</v>
      </c>
      <c r="J153">
        <v>47</v>
      </c>
      <c r="K153" t="s">
        <v>46</v>
      </c>
      <c r="L153" t="s">
        <v>19</v>
      </c>
      <c r="M153" s="5">
        <v>0.19511518179295032</v>
      </c>
      <c r="N153">
        <f>Posts_1[[#This Row],[Likes]]+Posts_1[[#This Row],[Shares]]+Posts_1[[#This Row],[Comments]]</f>
        <v>5624</v>
      </c>
    </row>
    <row r="154" spans="1:14" x14ac:dyDescent="0.35">
      <c r="A154" t="s">
        <v>262</v>
      </c>
      <c r="B154" t="s">
        <v>32</v>
      </c>
      <c r="C154" s="1">
        <v>45658</v>
      </c>
      <c r="D154" t="s">
        <v>58</v>
      </c>
      <c r="E154">
        <v>754</v>
      </c>
      <c r="F154">
        <v>197</v>
      </c>
      <c r="G154">
        <v>257</v>
      </c>
      <c r="H154">
        <v>6786</v>
      </c>
      <c r="I154">
        <v>6221</v>
      </c>
      <c r="J154">
        <v>212</v>
      </c>
      <c r="K154" t="s">
        <v>157</v>
      </c>
      <c r="L154" t="s">
        <v>15</v>
      </c>
      <c r="M154" s="5">
        <v>0.17801355732390214</v>
      </c>
      <c r="N154">
        <f>Posts_1[[#This Row],[Likes]]+Posts_1[[#This Row],[Shares]]+Posts_1[[#This Row],[Comments]]</f>
        <v>1208</v>
      </c>
    </row>
    <row r="155" spans="1:14" x14ac:dyDescent="0.35">
      <c r="A155" t="s">
        <v>263</v>
      </c>
      <c r="B155" t="s">
        <v>30</v>
      </c>
      <c r="C155" s="1">
        <v>45574</v>
      </c>
      <c r="D155" t="s">
        <v>52</v>
      </c>
      <c r="E155">
        <v>985</v>
      </c>
      <c r="F155">
        <v>932</v>
      </c>
      <c r="G155">
        <v>287</v>
      </c>
      <c r="H155">
        <v>6895</v>
      </c>
      <c r="I155">
        <v>6757</v>
      </c>
      <c r="J155">
        <v>64</v>
      </c>
      <c r="K155" t="s">
        <v>154</v>
      </c>
      <c r="L155" t="s">
        <v>19</v>
      </c>
      <c r="M155" s="5">
        <v>0.31965192168237855</v>
      </c>
      <c r="N155">
        <f>Posts_1[[#This Row],[Likes]]+Posts_1[[#This Row],[Shares]]+Posts_1[[#This Row],[Comments]]</f>
        <v>2204</v>
      </c>
    </row>
    <row r="156" spans="1:14" x14ac:dyDescent="0.35">
      <c r="A156" t="s">
        <v>264</v>
      </c>
      <c r="B156" t="s">
        <v>33</v>
      </c>
      <c r="C156" s="1">
        <v>45647</v>
      </c>
      <c r="D156" t="s">
        <v>50</v>
      </c>
      <c r="E156">
        <v>2283</v>
      </c>
      <c r="F156">
        <v>210</v>
      </c>
      <c r="G156">
        <v>130</v>
      </c>
      <c r="H156">
        <v>22830</v>
      </c>
      <c r="I156">
        <v>22617</v>
      </c>
      <c r="J156">
        <v>143</v>
      </c>
      <c r="K156" t="s">
        <v>154</v>
      </c>
      <c r="L156" t="s">
        <v>11</v>
      </c>
      <c r="M156" s="5">
        <v>0.11489268506351293</v>
      </c>
      <c r="N156">
        <f>Posts_1[[#This Row],[Likes]]+Posts_1[[#This Row],[Shares]]+Posts_1[[#This Row],[Comments]]</f>
        <v>2623</v>
      </c>
    </row>
    <row r="157" spans="1:14" x14ac:dyDescent="0.35">
      <c r="A157" t="s">
        <v>265</v>
      </c>
      <c r="B157" t="s">
        <v>31</v>
      </c>
      <c r="C157" s="1">
        <v>45587</v>
      </c>
      <c r="D157" t="s">
        <v>52</v>
      </c>
      <c r="E157">
        <v>3352</v>
      </c>
      <c r="F157">
        <v>941</v>
      </c>
      <c r="G157">
        <v>482</v>
      </c>
      <c r="H157">
        <v>43576</v>
      </c>
      <c r="I157">
        <v>43338</v>
      </c>
      <c r="J157">
        <v>240</v>
      </c>
      <c r="K157" t="s">
        <v>154</v>
      </c>
      <c r="L157" t="s">
        <v>11</v>
      </c>
      <c r="M157" s="5">
        <v>0.1095786671562328</v>
      </c>
      <c r="N157">
        <f>Posts_1[[#This Row],[Likes]]+Posts_1[[#This Row],[Shares]]+Posts_1[[#This Row],[Comments]]</f>
        <v>4775</v>
      </c>
    </row>
    <row r="158" spans="1:14" x14ac:dyDescent="0.35">
      <c r="A158" t="s">
        <v>266</v>
      </c>
      <c r="B158" t="s">
        <v>33</v>
      </c>
      <c r="C158" s="1">
        <v>45496</v>
      </c>
      <c r="D158" t="s">
        <v>45</v>
      </c>
      <c r="E158">
        <v>4775</v>
      </c>
      <c r="F158">
        <v>173</v>
      </c>
      <c r="G158">
        <v>206</v>
      </c>
      <c r="H158">
        <v>47750</v>
      </c>
      <c r="I158">
        <v>47544</v>
      </c>
      <c r="J158">
        <v>187</v>
      </c>
      <c r="K158" t="s">
        <v>154</v>
      </c>
      <c r="L158" t="s">
        <v>11</v>
      </c>
      <c r="M158" s="5">
        <v>0.10793717277486911</v>
      </c>
      <c r="N158">
        <f>Posts_1[[#This Row],[Likes]]+Posts_1[[#This Row],[Shares]]+Posts_1[[#This Row],[Comments]]</f>
        <v>5154</v>
      </c>
    </row>
    <row r="159" spans="1:14" x14ac:dyDescent="0.35">
      <c r="A159" t="s">
        <v>267</v>
      </c>
      <c r="B159" t="s">
        <v>30</v>
      </c>
      <c r="C159" s="1">
        <v>45515</v>
      </c>
      <c r="D159" t="s">
        <v>45</v>
      </c>
      <c r="E159">
        <v>1762</v>
      </c>
      <c r="F159">
        <v>405</v>
      </c>
      <c r="G159">
        <v>423</v>
      </c>
      <c r="H159">
        <v>22906</v>
      </c>
      <c r="I159">
        <v>21925</v>
      </c>
      <c r="J159">
        <v>25</v>
      </c>
      <c r="K159" t="s">
        <v>157</v>
      </c>
      <c r="L159" t="s">
        <v>7</v>
      </c>
      <c r="M159" s="5">
        <v>0.11307081114118571</v>
      </c>
      <c r="N159">
        <f>Posts_1[[#This Row],[Likes]]+Posts_1[[#This Row],[Shares]]+Posts_1[[#This Row],[Comments]]</f>
        <v>2590</v>
      </c>
    </row>
    <row r="160" spans="1:14" x14ac:dyDescent="0.35">
      <c r="A160" t="s">
        <v>268</v>
      </c>
      <c r="B160" t="s">
        <v>31</v>
      </c>
      <c r="C160" s="1">
        <v>45621</v>
      </c>
      <c r="D160" t="s">
        <v>45</v>
      </c>
      <c r="E160">
        <v>2120</v>
      </c>
      <c r="F160">
        <v>158</v>
      </c>
      <c r="G160">
        <v>488</v>
      </c>
      <c r="H160">
        <v>12720</v>
      </c>
      <c r="I160">
        <v>12085</v>
      </c>
      <c r="J160">
        <v>17</v>
      </c>
      <c r="K160" t="s">
        <v>154</v>
      </c>
      <c r="L160" t="s">
        <v>11</v>
      </c>
      <c r="M160" s="5">
        <v>0.21745283018867925</v>
      </c>
      <c r="N160">
        <f>Posts_1[[#This Row],[Likes]]+Posts_1[[#This Row],[Shares]]+Posts_1[[#This Row],[Comments]]</f>
        <v>2766</v>
      </c>
    </row>
    <row r="161" spans="1:14" x14ac:dyDescent="0.35">
      <c r="A161" t="s">
        <v>269</v>
      </c>
      <c r="B161" t="s">
        <v>32</v>
      </c>
      <c r="C161" s="1">
        <v>45528</v>
      </c>
      <c r="D161" t="s">
        <v>58</v>
      </c>
      <c r="E161">
        <v>1082</v>
      </c>
      <c r="F161">
        <v>209</v>
      </c>
      <c r="G161">
        <v>484</v>
      </c>
      <c r="H161">
        <v>19476</v>
      </c>
      <c r="I161">
        <v>18654</v>
      </c>
      <c r="J161">
        <v>20</v>
      </c>
      <c r="K161" t="s">
        <v>157</v>
      </c>
      <c r="L161" t="s">
        <v>56</v>
      </c>
      <c r="M161" s="5">
        <v>9.1137810638734856E-2</v>
      </c>
      <c r="N161">
        <f>Posts_1[[#This Row],[Likes]]+Posts_1[[#This Row],[Shares]]+Posts_1[[#This Row],[Comments]]</f>
        <v>1775</v>
      </c>
    </row>
    <row r="162" spans="1:14" x14ac:dyDescent="0.35">
      <c r="A162" t="s">
        <v>270</v>
      </c>
      <c r="B162" t="s">
        <v>32</v>
      </c>
      <c r="C162" s="1">
        <v>45707</v>
      </c>
      <c r="D162" t="s">
        <v>54</v>
      </c>
      <c r="E162">
        <v>4671</v>
      </c>
      <c r="F162">
        <v>876</v>
      </c>
      <c r="G162">
        <v>366</v>
      </c>
      <c r="H162">
        <v>51381</v>
      </c>
      <c r="I162">
        <v>50565</v>
      </c>
      <c r="J162">
        <v>245</v>
      </c>
      <c r="K162" t="s">
        <v>157</v>
      </c>
      <c r="L162" t="s">
        <v>19</v>
      </c>
      <c r="M162" s="5">
        <v>0.11508145034156594</v>
      </c>
      <c r="N162">
        <f>Posts_1[[#This Row],[Likes]]+Posts_1[[#This Row],[Shares]]+Posts_1[[#This Row],[Comments]]</f>
        <v>5913</v>
      </c>
    </row>
    <row r="163" spans="1:14" x14ac:dyDescent="0.35">
      <c r="A163" t="s">
        <v>271</v>
      </c>
      <c r="B163" t="s">
        <v>31</v>
      </c>
      <c r="C163" s="1">
        <v>45748</v>
      </c>
      <c r="D163" t="s">
        <v>45</v>
      </c>
      <c r="E163">
        <v>3430</v>
      </c>
      <c r="F163">
        <v>566</v>
      </c>
      <c r="G163">
        <v>164</v>
      </c>
      <c r="H163">
        <v>48020</v>
      </c>
      <c r="I163">
        <v>47305</v>
      </c>
      <c r="J163">
        <v>120</v>
      </c>
      <c r="K163" t="s">
        <v>154</v>
      </c>
      <c r="L163" t="s">
        <v>56</v>
      </c>
      <c r="M163" s="5">
        <v>8.6630570595585168E-2</v>
      </c>
      <c r="N163">
        <f>Posts_1[[#This Row],[Likes]]+Posts_1[[#This Row],[Shares]]+Posts_1[[#This Row],[Comments]]</f>
        <v>4160</v>
      </c>
    </row>
    <row r="164" spans="1:14" x14ac:dyDescent="0.35">
      <c r="A164" t="s">
        <v>272</v>
      </c>
      <c r="B164" t="s">
        <v>30</v>
      </c>
      <c r="C164" s="1">
        <v>45755</v>
      </c>
      <c r="D164" t="s">
        <v>50</v>
      </c>
      <c r="E164">
        <v>4501</v>
      </c>
      <c r="F164">
        <v>375</v>
      </c>
      <c r="G164">
        <v>323</v>
      </c>
      <c r="H164">
        <v>22505</v>
      </c>
      <c r="I164">
        <v>21836</v>
      </c>
      <c r="J164">
        <v>132</v>
      </c>
      <c r="K164" t="s">
        <v>157</v>
      </c>
      <c r="L164" t="s">
        <v>11</v>
      </c>
      <c r="M164" s="5">
        <v>0.23101532992668297</v>
      </c>
      <c r="N164">
        <f>Posts_1[[#This Row],[Likes]]+Posts_1[[#This Row],[Shares]]+Posts_1[[#This Row],[Comments]]</f>
        <v>5199</v>
      </c>
    </row>
    <row r="165" spans="1:14" x14ac:dyDescent="0.35">
      <c r="A165" t="s">
        <v>273</v>
      </c>
      <c r="B165" t="s">
        <v>33</v>
      </c>
      <c r="C165" s="1">
        <v>45715</v>
      </c>
      <c r="D165" t="s">
        <v>54</v>
      </c>
      <c r="E165">
        <v>4934</v>
      </c>
      <c r="F165">
        <v>971</v>
      </c>
      <c r="G165">
        <v>156</v>
      </c>
      <c r="H165">
        <v>39472</v>
      </c>
      <c r="I165">
        <v>39025</v>
      </c>
      <c r="J165">
        <v>169</v>
      </c>
      <c r="K165" t="s">
        <v>366</v>
      </c>
      <c r="L165" t="s">
        <v>19</v>
      </c>
      <c r="M165" s="5">
        <v>0.15355188488042157</v>
      </c>
      <c r="N165">
        <f>Posts_1[[#This Row],[Likes]]+Posts_1[[#This Row],[Shares]]+Posts_1[[#This Row],[Comments]]</f>
        <v>6061</v>
      </c>
    </row>
    <row r="166" spans="1:14" x14ac:dyDescent="0.35">
      <c r="A166" t="s">
        <v>274</v>
      </c>
      <c r="B166" t="s">
        <v>32</v>
      </c>
      <c r="C166" s="1">
        <v>45637</v>
      </c>
      <c r="D166" t="s">
        <v>54</v>
      </c>
      <c r="E166">
        <v>3239</v>
      </c>
      <c r="F166">
        <v>43</v>
      </c>
      <c r="G166">
        <v>211</v>
      </c>
      <c r="H166">
        <v>22673</v>
      </c>
      <c r="I166">
        <v>22171</v>
      </c>
      <c r="J166">
        <v>230</v>
      </c>
      <c r="K166" t="s">
        <v>157</v>
      </c>
      <c r="L166" t="s">
        <v>11</v>
      </c>
      <c r="M166" s="5">
        <v>0.15405989502933004</v>
      </c>
      <c r="N166">
        <f>Posts_1[[#This Row],[Likes]]+Posts_1[[#This Row],[Shares]]+Posts_1[[#This Row],[Comments]]</f>
        <v>3493</v>
      </c>
    </row>
    <row r="167" spans="1:14" x14ac:dyDescent="0.35">
      <c r="A167" t="s">
        <v>275</v>
      </c>
      <c r="B167" t="s">
        <v>32</v>
      </c>
      <c r="C167" s="1">
        <v>45704</v>
      </c>
      <c r="D167" t="s">
        <v>48</v>
      </c>
      <c r="E167">
        <v>1076</v>
      </c>
      <c r="F167">
        <v>313</v>
      </c>
      <c r="G167">
        <v>306</v>
      </c>
      <c r="H167">
        <v>11836</v>
      </c>
      <c r="I167">
        <v>11596</v>
      </c>
      <c r="J167">
        <v>104</v>
      </c>
      <c r="K167" t="s">
        <v>154</v>
      </c>
      <c r="L167" t="s">
        <v>7</v>
      </c>
      <c r="M167" s="5">
        <v>0.14320716458262928</v>
      </c>
      <c r="N167">
        <f>Posts_1[[#This Row],[Likes]]+Posts_1[[#This Row],[Shares]]+Posts_1[[#This Row],[Comments]]</f>
        <v>1695</v>
      </c>
    </row>
    <row r="168" spans="1:14" x14ac:dyDescent="0.35">
      <c r="A168" t="s">
        <v>276</v>
      </c>
      <c r="B168" t="s">
        <v>30</v>
      </c>
      <c r="C168" s="1">
        <v>45624</v>
      </c>
      <c r="D168" t="s">
        <v>54</v>
      </c>
      <c r="E168">
        <v>4771</v>
      </c>
      <c r="F168">
        <v>818</v>
      </c>
      <c r="G168">
        <v>56</v>
      </c>
      <c r="H168">
        <v>57252</v>
      </c>
      <c r="I168">
        <v>56378</v>
      </c>
      <c r="J168">
        <v>150</v>
      </c>
      <c r="K168" t="s">
        <v>154</v>
      </c>
      <c r="L168" t="s">
        <v>56</v>
      </c>
      <c r="M168" s="5">
        <v>9.859917557465242E-2</v>
      </c>
      <c r="N168">
        <f>Posts_1[[#This Row],[Likes]]+Posts_1[[#This Row],[Shares]]+Posts_1[[#This Row],[Comments]]</f>
        <v>5645</v>
      </c>
    </row>
    <row r="169" spans="1:14" x14ac:dyDescent="0.35">
      <c r="A169" t="s">
        <v>99</v>
      </c>
      <c r="B169" t="s">
        <v>31</v>
      </c>
      <c r="C169" s="1">
        <v>45608</v>
      </c>
      <c r="D169" t="s">
        <v>54</v>
      </c>
      <c r="E169">
        <v>2418</v>
      </c>
      <c r="F169">
        <v>754</v>
      </c>
      <c r="G169">
        <v>54</v>
      </c>
      <c r="H169">
        <v>43524</v>
      </c>
      <c r="I169">
        <v>42743</v>
      </c>
      <c r="J169">
        <v>182</v>
      </c>
      <c r="K169" t="s">
        <v>46</v>
      </c>
      <c r="L169" t="s">
        <v>7</v>
      </c>
      <c r="M169" s="5">
        <v>7.412002573292896E-2</v>
      </c>
      <c r="N169">
        <f>Posts_1[[#This Row],[Likes]]+Posts_1[[#This Row],[Shares]]+Posts_1[[#This Row],[Comments]]</f>
        <v>3226</v>
      </c>
    </row>
    <row r="170" spans="1:14" x14ac:dyDescent="0.35">
      <c r="A170" t="s">
        <v>100</v>
      </c>
      <c r="B170" t="s">
        <v>33</v>
      </c>
      <c r="C170" s="1">
        <v>45629</v>
      </c>
      <c r="D170" t="s">
        <v>58</v>
      </c>
      <c r="E170">
        <v>3809</v>
      </c>
      <c r="F170">
        <v>273</v>
      </c>
      <c r="G170">
        <v>200</v>
      </c>
      <c r="H170">
        <v>34281</v>
      </c>
      <c r="I170">
        <v>33534</v>
      </c>
      <c r="J170">
        <v>83</v>
      </c>
      <c r="K170" t="s">
        <v>46</v>
      </c>
      <c r="L170" t="s">
        <v>7</v>
      </c>
      <c r="M170" s="5">
        <v>0.12490884163239112</v>
      </c>
      <c r="N170">
        <f>Posts_1[[#This Row],[Likes]]+Posts_1[[#This Row],[Shares]]+Posts_1[[#This Row],[Comments]]</f>
        <v>4282</v>
      </c>
    </row>
    <row r="171" spans="1:14" x14ac:dyDescent="0.35">
      <c r="A171" t="s">
        <v>277</v>
      </c>
      <c r="B171" t="s">
        <v>32</v>
      </c>
      <c r="C171" s="1">
        <v>45775</v>
      </c>
      <c r="D171" t="s">
        <v>54</v>
      </c>
      <c r="E171">
        <v>3577</v>
      </c>
      <c r="F171">
        <v>596</v>
      </c>
      <c r="G171">
        <v>493</v>
      </c>
      <c r="H171">
        <v>67963</v>
      </c>
      <c r="I171">
        <v>67839</v>
      </c>
      <c r="J171">
        <v>53</v>
      </c>
      <c r="K171" t="s">
        <v>157</v>
      </c>
      <c r="L171" t="s">
        <v>15</v>
      </c>
      <c r="M171" s="5">
        <v>6.8655003457763777E-2</v>
      </c>
      <c r="N171">
        <f>Posts_1[[#This Row],[Likes]]+Posts_1[[#This Row],[Shares]]+Posts_1[[#This Row],[Comments]]</f>
        <v>4666</v>
      </c>
    </row>
    <row r="172" spans="1:14" x14ac:dyDescent="0.35">
      <c r="A172" t="s">
        <v>278</v>
      </c>
      <c r="B172" t="s">
        <v>33</v>
      </c>
      <c r="C172" s="1">
        <v>45657</v>
      </c>
      <c r="D172" t="s">
        <v>58</v>
      </c>
      <c r="E172">
        <v>1018</v>
      </c>
      <c r="F172">
        <v>447</v>
      </c>
      <c r="G172">
        <v>332</v>
      </c>
      <c r="H172">
        <v>18324</v>
      </c>
      <c r="I172">
        <v>18164</v>
      </c>
      <c r="J172">
        <v>38</v>
      </c>
      <c r="K172" t="s">
        <v>154</v>
      </c>
      <c r="L172" t="s">
        <v>11</v>
      </c>
      <c r="M172" s="5">
        <v>9.8068107400130972E-2</v>
      </c>
      <c r="N172">
        <f>Posts_1[[#This Row],[Likes]]+Posts_1[[#This Row],[Shares]]+Posts_1[[#This Row],[Comments]]</f>
        <v>1797</v>
      </c>
    </row>
    <row r="173" spans="1:14" x14ac:dyDescent="0.35">
      <c r="A173" t="s">
        <v>101</v>
      </c>
      <c r="B173" t="s">
        <v>31</v>
      </c>
      <c r="C173" s="1">
        <v>45518</v>
      </c>
      <c r="D173" t="s">
        <v>52</v>
      </c>
      <c r="E173">
        <v>3073</v>
      </c>
      <c r="F173">
        <v>553</v>
      </c>
      <c r="G173">
        <v>174</v>
      </c>
      <c r="H173">
        <v>52241</v>
      </c>
      <c r="I173">
        <v>51605</v>
      </c>
      <c r="J173">
        <v>246</v>
      </c>
      <c r="K173" t="s">
        <v>46</v>
      </c>
      <c r="L173" t="s">
        <v>15</v>
      </c>
      <c r="M173" s="5">
        <v>7.2739802071170159E-2</v>
      </c>
      <c r="N173">
        <f>Posts_1[[#This Row],[Likes]]+Posts_1[[#This Row],[Shares]]+Posts_1[[#This Row],[Comments]]</f>
        <v>3800</v>
      </c>
    </row>
    <row r="174" spans="1:14" x14ac:dyDescent="0.35">
      <c r="A174" t="s">
        <v>279</v>
      </c>
      <c r="B174" t="s">
        <v>32</v>
      </c>
      <c r="C174" s="1">
        <v>45631</v>
      </c>
      <c r="D174" t="s">
        <v>58</v>
      </c>
      <c r="E174">
        <v>1330</v>
      </c>
      <c r="F174">
        <v>925</v>
      </c>
      <c r="G174">
        <v>35</v>
      </c>
      <c r="H174">
        <v>15960</v>
      </c>
      <c r="I174">
        <v>15379</v>
      </c>
      <c r="J174">
        <v>229</v>
      </c>
      <c r="K174" t="s">
        <v>154</v>
      </c>
      <c r="L174" t="s">
        <v>15</v>
      </c>
      <c r="M174" s="5">
        <v>0.14348370927318296</v>
      </c>
      <c r="N174">
        <f>Posts_1[[#This Row],[Likes]]+Posts_1[[#This Row],[Shares]]+Posts_1[[#This Row],[Comments]]</f>
        <v>2290</v>
      </c>
    </row>
    <row r="175" spans="1:14" x14ac:dyDescent="0.35">
      <c r="A175" t="s">
        <v>102</v>
      </c>
      <c r="B175" t="s">
        <v>31</v>
      </c>
      <c r="C175" s="1">
        <v>45465</v>
      </c>
      <c r="D175" t="s">
        <v>54</v>
      </c>
      <c r="E175">
        <v>3828</v>
      </c>
      <c r="F175">
        <v>148</v>
      </c>
      <c r="G175">
        <v>253</v>
      </c>
      <c r="H175">
        <v>30624</v>
      </c>
      <c r="I175">
        <v>30229</v>
      </c>
      <c r="J175">
        <v>235</v>
      </c>
      <c r="K175" t="s">
        <v>46</v>
      </c>
      <c r="L175" t="s">
        <v>56</v>
      </c>
      <c r="M175" s="5">
        <v>0.13809430512016718</v>
      </c>
      <c r="N175">
        <f>Posts_1[[#This Row],[Likes]]+Posts_1[[#This Row],[Shares]]+Posts_1[[#This Row],[Comments]]</f>
        <v>4229</v>
      </c>
    </row>
    <row r="176" spans="1:14" x14ac:dyDescent="0.35">
      <c r="A176" t="s">
        <v>280</v>
      </c>
      <c r="B176" t="s">
        <v>30</v>
      </c>
      <c r="C176" s="1">
        <v>45674</v>
      </c>
      <c r="D176" t="s">
        <v>48</v>
      </c>
      <c r="E176">
        <v>142</v>
      </c>
      <c r="F176">
        <v>784</v>
      </c>
      <c r="G176">
        <v>183</v>
      </c>
      <c r="H176">
        <v>1704</v>
      </c>
      <c r="I176">
        <v>995</v>
      </c>
      <c r="J176">
        <v>154</v>
      </c>
      <c r="K176" t="s">
        <v>154</v>
      </c>
      <c r="L176" t="s">
        <v>19</v>
      </c>
      <c r="M176" s="5">
        <v>0.6508215962441315</v>
      </c>
      <c r="N176">
        <f>Posts_1[[#This Row],[Likes]]+Posts_1[[#This Row],[Shares]]+Posts_1[[#This Row],[Comments]]</f>
        <v>1109</v>
      </c>
    </row>
    <row r="177" spans="1:14" x14ac:dyDescent="0.35">
      <c r="A177" t="s">
        <v>281</v>
      </c>
      <c r="B177" t="s">
        <v>31</v>
      </c>
      <c r="C177" s="1">
        <v>45463</v>
      </c>
      <c r="D177" t="s">
        <v>58</v>
      </c>
      <c r="E177">
        <v>3798</v>
      </c>
      <c r="F177">
        <v>31</v>
      </c>
      <c r="G177">
        <v>279</v>
      </c>
      <c r="H177">
        <v>75960</v>
      </c>
      <c r="I177">
        <v>75813</v>
      </c>
      <c r="J177">
        <v>266</v>
      </c>
      <c r="K177" t="s">
        <v>157</v>
      </c>
      <c r="L177" t="s">
        <v>7</v>
      </c>
      <c r="M177" s="5">
        <v>5.4081095313322801E-2</v>
      </c>
      <c r="N177">
        <f>Posts_1[[#This Row],[Likes]]+Posts_1[[#This Row],[Shares]]+Posts_1[[#This Row],[Comments]]</f>
        <v>4108</v>
      </c>
    </row>
    <row r="178" spans="1:14" x14ac:dyDescent="0.35">
      <c r="A178" t="s">
        <v>282</v>
      </c>
      <c r="B178" t="s">
        <v>30</v>
      </c>
      <c r="C178" s="1">
        <v>45483</v>
      </c>
      <c r="D178" t="s">
        <v>52</v>
      </c>
      <c r="E178">
        <v>3099</v>
      </c>
      <c r="F178">
        <v>694</v>
      </c>
      <c r="G178">
        <v>171</v>
      </c>
      <c r="H178">
        <v>43386</v>
      </c>
      <c r="I178">
        <v>42921</v>
      </c>
      <c r="J178">
        <v>52</v>
      </c>
      <c r="K178" t="s">
        <v>157</v>
      </c>
      <c r="L178" t="s">
        <v>15</v>
      </c>
      <c r="M178" s="5">
        <v>9.1365878393951966E-2</v>
      </c>
      <c r="N178">
        <f>Posts_1[[#This Row],[Likes]]+Posts_1[[#This Row],[Shares]]+Posts_1[[#This Row],[Comments]]</f>
        <v>3964</v>
      </c>
    </row>
    <row r="179" spans="1:14" x14ac:dyDescent="0.35">
      <c r="A179" t="s">
        <v>283</v>
      </c>
      <c r="B179" t="s">
        <v>30</v>
      </c>
      <c r="C179" s="1">
        <v>45603</v>
      </c>
      <c r="D179" t="s">
        <v>58</v>
      </c>
      <c r="E179">
        <v>129</v>
      </c>
      <c r="F179">
        <v>643</v>
      </c>
      <c r="G179">
        <v>136</v>
      </c>
      <c r="H179">
        <v>1290</v>
      </c>
      <c r="I179">
        <v>839</v>
      </c>
      <c r="J179">
        <v>238</v>
      </c>
      <c r="K179" t="s">
        <v>157</v>
      </c>
      <c r="L179" t="s">
        <v>19</v>
      </c>
      <c r="M179" s="5">
        <v>0.70387596899224802</v>
      </c>
      <c r="N179">
        <f>Posts_1[[#This Row],[Likes]]+Posts_1[[#This Row],[Shares]]+Posts_1[[#This Row],[Comments]]</f>
        <v>908</v>
      </c>
    </row>
    <row r="180" spans="1:14" x14ac:dyDescent="0.35">
      <c r="A180" t="s">
        <v>284</v>
      </c>
      <c r="B180" t="s">
        <v>31</v>
      </c>
      <c r="C180" s="1">
        <v>45488</v>
      </c>
      <c r="D180" t="s">
        <v>52</v>
      </c>
      <c r="E180">
        <v>3796</v>
      </c>
      <c r="F180">
        <v>667</v>
      </c>
      <c r="G180">
        <v>395</v>
      </c>
      <c r="H180">
        <v>64532</v>
      </c>
      <c r="I180">
        <v>63550</v>
      </c>
      <c r="J180">
        <v>292</v>
      </c>
      <c r="K180" t="s">
        <v>157</v>
      </c>
      <c r="L180" t="s">
        <v>56</v>
      </c>
      <c r="M180" s="5">
        <v>7.5280481001673588E-2</v>
      </c>
      <c r="N180">
        <f>Posts_1[[#This Row],[Likes]]+Posts_1[[#This Row],[Shares]]+Posts_1[[#This Row],[Comments]]</f>
        <v>4858</v>
      </c>
    </row>
    <row r="181" spans="1:14" x14ac:dyDescent="0.35">
      <c r="A181" t="s">
        <v>285</v>
      </c>
      <c r="B181" t="s">
        <v>33</v>
      </c>
      <c r="C181" s="1">
        <v>45629</v>
      </c>
      <c r="D181" t="s">
        <v>54</v>
      </c>
      <c r="E181">
        <v>3711</v>
      </c>
      <c r="F181">
        <v>352</v>
      </c>
      <c r="G181">
        <v>290</v>
      </c>
      <c r="H181">
        <v>48243</v>
      </c>
      <c r="I181">
        <v>47579</v>
      </c>
      <c r="J181">
        <v>11</v>
      </c>
      <c r="K181" t="s">
        <v>157</v>
      </c>
      <c r="L181" t="s">
        <v>7</v>
      </c>
      <c r="M181" s="5">
        <v>9.023070704558174E-2</v>
      </c>
      <c r="N181">
        <f>Posts_1[[#This Row],[Likes]]+Posts_1[[#This Row],[Shares]]+Posts_1[[#This Row],[Comments]]</f>
        <v>4353</v>
      </c>
    </row>
    <row r="182" spans="1:14" x14ac:dyDescent="0.35">
      <c r="A182" t="s">
        <v>103</v>
      </c>
      <c r="B182" t="s">
        <v>33</v>
      </c>
      <c r="C182" s="1">
        <v>45737</v>
      </c>
      <c r="D182" t="s">
        <v>50</v>
      </c>
      <c r="E182">
        <v>606</v>
      </c>
      <c r="F182">
        <v>789</v>
      </c>
      <c r="G182">
        <v>470</v>
      </c>
      <c r="H182">
        <v>7878</v>
      </c>
      <c r="I182">
        <v>7389</v>
      </c>
      <c r="J182">
        <v>239</v>
      </c>
      <c r="K182" t="s">
        <v>46</v>
      </c>
      <c r="L182" t="s">
        <v>15</v>
      </c>
      <c r="M182" s="5">
        <v>0.23673521198273673</v>
      </c>
      <c r="N182">
        <f>Posts_1[[#This Row],[Likes]]+Posts_1[[#This Row],[Shares]]+Posts_1[[#This Row],[Comments]]</f>
        <v>1865</v>
      </c>
    </row>
    <row r="183" spans="1:14" x14ac:dyDescent="0.35">
      <c r="A183" t="s">
        <v>286</v>
      </c>
      <c r="B183" t="s">
        <v>31</v>
      </c>
      <c r="C183" s="1">
        <v>45504</v>
      </c>
      <c r="D183" t="s">
        <v>50</v>
      </c>
      <c r="E183">
        <v>4689</v>
      </c>
      <c r="F183">
        <v>134</v>
      </c>
      <c r="G183">
        <v>403</v>
      </c>
      <c r="H183">
        <v>51579</v>
      </c>
      <c r="I183">
        <v>50924</v>
      </c>
      <c r="J183">
        <v>173</v>
      </c>
      <c r="K183" t="s">
        <v>157</v>
      </c>
      <c r="L183" t="s">
        <v>19</v>
      </c>
      <c r="M183" s="5">
        <v>0.10132030477519921</v>
      </c>
      <c r="N183">
        <f>Posts_1[[#This Row],[Likes]]+Posts_1[[#This Row],[Shares]]+Posts_1[[#This Row],[Comments]]</f>
        <v>5226</v>
      </c>
    </row>
    <row r="184" spans="1:14" x14ac:dyDescent="0.35">
      <c r="A184" t="s">
        <v>287</v>
      </c>
      <c r="B184" t="s">
        <v>30</v>
      </c>
      <c r="C184" s="1">
        <v>45643</v>
      </c>
      <c r="D184" t="s">
        <v>45</v>
      </c>
      <c r="E184">
        <v>360</v>
      </c>
      <c r="F184">
        <v>590</v>
      </c>
      <c r="G184">
        <v>393</v>
      </c>
      <c r="H184">
        <v>4680</v>
      </c>
      <c r="I184">
        <v>4322</v>
      </c>
      <c r="J184">
        <v>208</v>
      </c>
      <c r="K184" t="s">
        <v>154</v>
      </c>
      <c r="L184" t="s">
        <v>11</v>
      </c>
      <c r="M184" s="5">
        <v>0.28696581196581195</v>
      </c>
      <c r="N184">
        <f>Posts_1[[#This Row],[Likes]]+Posts_1[[#This Row],[Shares]]+Posts_1[[#This Row],[Comments]]</f>
        <v>1343</v>
      </c>
    </row>
    <row r="185" spans="1:14" x14ac:dyDescent="0.35">
      <c r="A185" t="s">
        <v>104</v>
      </c>
      <c r="B185" t="s">
        <v>32</v>
      </c>
      <c r="C185" s="1">
        <v>45501</v>
      </c>
      <c r="D185" t="s">
        <v>50</v>
      </c>
      <c r="E185">
        <v>3215</v>
      </c>
      <c r="F185">
        <v>960</v>
      </c>
      <c r="G185">
        <v>202</v>
      </c>
      <c r="H185">
        <v>32150</v>
      </c>
      <c r="I185">
        <v>31404</v>
      </c>
      <c r="J185">
        <v>251</v>
      </c>
      <c r="K185" t="s">
        <v>46</v>
      </c>
      <c r="L185" t="s">
        <v>7</v>
      </c>
      <c r="M185" s="5">
        <v>0.13614307931570763</v>
      </c>
      <c r="N185">
        <f>Posts_1[[#This Row],[Likes]]+Posts_1[[#This Row],[Shares]]+Posts_1[[#This Row],[Comments]]</f>
        <v>4377</v>
      </c>
    </row>
    <row r="186" spans="1:14" x14ac:dyDescent="0.35">
      <c r="A186" t="s">
        <v>105</v>
      </c>
      <c r="B186" t="s">
        <v>30</v>
      </c>
      <c r="C186" s="1">
        <v>45668</v>
      </c>
      <c r="D186" t="s">
        <v>52</v>
      </c>
      <c r="E186">
        <v>4523</v>
      </c>
      <c r="F186">
        <v>61</v>
      </c>
      <c r="G186">
        <v>157</v>
      </c>
      <c r="H186">
        <v>49753</v>
      </c>
      <c r="I186">
        <v>49329</v>
      </c>
      <c r="J186">
        <v>71</v>
      </c>
      <c r="K186" t="s">
        <v>46</v>
      </c>
      <c r="L186" t="s">
        <v>56</v>
      </c>
      <c r="M186" s="5">
        <v>9.5290736237010829E-2</v>
      </c>
      <c r="N186">
        <f>Posts_1[[#This Row],[Likes]]+Posts_1[[#This Row],[Shares]]+Posts_1[[#This Row],[Comments]]</f>
        <v>4741</v>
      </c>
    </row>
    <row r="187" spans="1:14" x14ac:dyDescent="0.35">
      <c r="A187" t="s">
        <v>106</v>
      </c>
      <c r="B187" t="s">
        <v>31</v>
      </c>
      <c r="C187" s="1">
        <v>45528</v>
      </c>
      <c r="D187" t="s">
        <v>52</v>
      </c>
      <c r="E187">
        <v>4292</v>
      </c>
      <c r="F187">
        <v>51</v>
      </c>
      <c r="G187">
        <v>392</v>
      </c>
      <c r="H187">
        <v>55796</v>
      </c>
      <c r="I187">
        <v>54826</v>
      </c>
      <c r="J187">
        <v>264</v>
      </c>
      <c r="K187" t="s">
        <v>46</v>
      </c>
      <c r="L187" t="s">
        <v>15</v>
      </c>
      <c r="M187" s="5">
        <v>8.4862714173059003E-2</v>
      </c>
      <c r="N187">
        <f>Posts_1[[#This Row],[Likes]]+Posts_1[[#This Row],[Shares]]+Posts_1[[#This Row],[Comments]]</f>
        <v>4735</v>
      </c>
    </row>
    <row r="188" spans="1:14" x14ac:dyDescent="0.35">
      <c r="A188" t="s">
        <v>107</v>
      </c>
      <c r="B188" t="s">
        <v>32</v>
      </c>
      <c r="C188" s="1">
        <v>45648</v>
      </c>
      <c r="D188" t="s">
        <v>48</v>
      </c>
      <c r="E188">
        <v>1644</v>
      </c>
      <c r="F188">
        <v>546</v>
      </c>
      <c r="G188">
        <v>150</v>
      </c>
      <c r="H188">
        <v>27948</v>
      </c>
      <c r="I188">
        <v>27184</v>
      </c>
      <c r="J188">
        <v>300</v>
      </c>
      <c r="K188" t="s">
        <v>46</v>
      </c>
      <c r="L188" t="s">
        <v>15</v>
      </c>
      <c r="M188" s="5">
        <v>8.3726921425504502E-2</v>
      </c>
      <c r="N188">
        <f>Posts_1[[#This Row],[Likes]]+Posts_1[[#This Row],[Shares]]+Posts_1[[#This Row],[Comments]]</f>
        <v>2340</v>
      </c>
    </row>
    <row r="189" spans="1:14" x14ac:dyDescent="0.35">
      <c r="A189" t="s">
        <v>288</v>
      </c>
      <c r="B189" t="s">
        <v>33</v>
      </c>
      <c r="C189" s="1">
        <v>45449</v>
      </c>
      <c r="D189" t="s">
        <v>48</v>
      </c>
      <c r="E189">
        <v>2728</v>
      </c>
      <c r="F189">
        <v>533</v>
      </c>
      <c r="G189">
        <v>215</v>
      </c>
      <c r="H189">
        <v>40920</v>
      </c>
      <c r="I189">
        <v>40816</v>
      </c>
      <c r="J189">
        <v>137</v>
      </c>
      <c r="K189" t="s">
        <v>154</v>
      </c>
      <c r="L189" t="s">
        <v>11</v>
      </c>
      <c r="M189" s="5">
        <v>8.4946236559139784E-2</v>
      </c>
      <c r="N189">
        <f>Posts_1[[#This Row],[Likes]]+Posts_1[[#This Row],[Shares]]+Posts_1[[#This Row],[Comments]]</f>
        <v>3476</v>
      </c>
    </row>
    <row r="190" spans="1:14" x14ac:dyDescent="0.35">
      <c r="A190" t="s">
        <v>289</v>
      </c>
      <c r="B190" t="s">
        <v>31</v>
      </c>
      <c r="C190" s="1">
        <v>45740</v>
      </c>
      <c r="D190" t="s">
        <v>48</v>
      </c>
      <c r="E190">
        <v>3360</v>
      </c>
      <c r="F190">
        <v>525</v>
      </c>
      <c r="G190">
        <v>500</v>
      </c>
      <c r="H190">
        <v>60480</v>
      </c>
      <c r="I190">
        <v>59610</v>
      </c>
      <c r="J190">
        <v>192</v>
      </c>
      <c r="K190" t="s">
        <v>157</v>
      </c>
      <c r="L190" t="s">
        <v>7</v>
      </c>
      <c r="M190" s="5">
        <v>7.2503306878306875E-2</v>
      </c>
      <c r="N190">
        <f>Posts_1[[#This Row],[Likes]]+Posts_1[[#This Row],[Shares]]+Posts_1[[#This Row],[Comments]]</f>
        <v>4385</v>
      </c>
    </row>
    <row r="191" spans="1:14" x14ac:dyDescent="0.35">
      <c r="A191" t="s">
        <v>290</v>
      </c>
      <c r="B191" t="s">
        <v>33</v>
      </c>
      <c r="C191" s="1">
        <v>45569</v>
      </c>
      <c r="D191" t="s">
        <v>54</v>
      </c>
      <c r="E191">
        <v>1963</v>
      </c>
      <c r="F191">
        <v>213</v>
      </c>
      <c r="G191">
        <v>19</v>
      </c>
      <c r="H191">
        <v>39260</v>
      </c>
      <c r="I191">
        <v>38771</v>
      </c>
      <c r="J191">
        <v>145</v>
      </c>
      <c r="K191" t="s">
        <v>154</v>
      </c>
      <c r="L191" t="s">
        <v>56</v>
      </c>
      <c r="M191" s="5">
        <v>5.5909322465613857E-2</v>
      </c>
      <c r="N191">
        <f>Posts_1[[#This Row],[Likes]]+Posts_1[[#This Row],[Shares]]+Posts_1[[#This Row],[Comments]]</f>
        <v>2195</v>
      </c>
    </row>
    <row r="192" spans="1:14" x14ac:dyDescent="0.35">
      <c r="A192" t="s">
        <v>291</v>
      </c>
      <c r="B192" t="s">
        <v>33</v>
      </c>
      <c r="C192" s="1">
        <v>45629</v>
      </c>
      <c r="D192" t="s">
        <v>45</v>
      </c>
      <c r="E192">
        <v>4285</v>
      </c>
      <c r="F192">
        <v>886</v>
      </c>
      <c r="G192">
        <v>376</v>
      </c>
      <c r="H192">
        <v>55705</v>
      </c>
      <c r="I192">
        <v>55556</v>
      </c>
      <c r="J192">
        <v>51</v>
      </c>
      <c r="K192" t="s">
        <v>154</v>
      </c>
      <c r="L192" t="s">
        <v>15</v>
      </c>
      <c r="M192" s="5">
        <v>9.9578134817341346E-2</v>
      </c>
      <c r="N192">
        <f>Posts_1[[#This Row],[Likes]]+Posts_1[[#This Row],[Shares]]+Posts_1[[#This Row],[Comments]]</f>
        <v>5547</v>
      </c>
    </row>
    <row r="193" spans="1:14" x14ac:dyDescent="0.35">
      <c r="A193" t="s">
        <v>108</v>
      </c>
      <c r="B193" t="s">
        <v>30</v>
      </c>
      <c r="C193" s="1">
        <v>45625</v>
      </c>
      <c r="D193" t="s">
        <v>58</v>
      </c>
      <c r="E193">
        <v>1176</v>
      </c>
      <c r="F193">
        <v>464</v>
      </c>
      <c r="G193">
        <v>394</v>
      </c>
      <c r="H193">
        <v>14112</v>
      </c>
      <c r="I193">
        <v>13588</v>
      </c>
      <c r="J193">
        <v>272</v>
      </c>
      <c r="K193" t="s">
        <v>46</v>
      </c>
      <c r="L193" t="s">
        <v>56</v>
      </c>
      <c r="M193" s="5">
        <v>0.1441326530612245</v>
      </c>
      <c r="N193">
        <f>Posts_1[[#This Row],[Likes]]+Posts_1[[#This Row],[Shares]]+Posts_1[[#This Row],[Comments]]</f>
        <v>2034</v>
      </c>
    </row>
    <row r="194" spans="1:14" x14ac:dyDescent="0.35">
      <c r="A194" t="s">
        <v>109</v>
      </c>
      <c r="B194" t="s">
        <v>32</v>
      </c>
      <c r="C194" s="1">
        <v>45546</v>
      </c>
      <c r="D194" t="s">
        <v>50</v>
      </c>
      <c r="E194">
        <v>4858</v>
      </c>
      <c r="F194">
        <v>317</v>
      </c>
      <c r="G194">
        <v>129</v>
      </c>
      <c r="H194">
        <v>53438</v>
      </c>
      <c r="I194">
        <v>52687</v>
      </c>
      <c r="J194">
        <v>223</v>
      </c>
      <c r="K194" t="s">
        <v>46</v>
      </c>
      <c r="L194" t="s">
        <v>15</v>
      </c>
      <c r="M194" s="5">
        <v>9.9255211647142488E-2</v>
      </c>
      <c r="N194">
        <f>Posts_1[[#This Row],[Likes]]+Posts_1[[#This Row],[Shares]]+Posts_1[[#This Row],[Comments]]</f>
        <v>5304</v>
      </c>
    </row>
    <row r="195" spans="1:14" x14ac:dyDescent="0.35">
      <c r="A195" t="s">
        <v>110</v>
      </c>
      <c r="B195" t="s">
        <v>33</v>
      </c>
      <c r="C195" s="1">
        <v>45567</v>
      </c>
      <c r="D195" t="s">
        <v>45</v>
      </c>
      <c r="E195">
        <v>4350</v>
      </c>
      <c r="F195">
        <v>771</v>
      </c>
      <c r="G195">
        <v>7</v>
      </c>
      <c r="H195">
        <v>60900</v>
      </c>
      <c r="I195">
        <v>60592</v>
      </c>
      <c r="J195">
        <v>195</v>
      </c>
      <c r="K195" t="s">
        <v>46</v>
      </c>
      <c r="L195" t="s">
        <v>7</v>
      </c>
      <c r="M195" s="5">
        <v>8.4203612479474554E-2</v>
      </c>
      <c r="N195">
        <f>Posts_1[[#This Row],[Likes]]+Posts_1[[#This Row],[Shares]]+Posts_1[[#This Row],[Comments]]</f>
        <v>5128</v>
      </c>
    </row>
    <row r="196" spans="1:14" x14ac:dyDescent="0.35">
      <c r="A196" t="s">
        <v>292</v>
      </c>
      <c r="B196" t="s">
        <v>30</v>
      </c>
      <c r="C196" s="1">
        <v>45519</v>
      </c>
      <c r="D196" t="s">
        <v>52</v>
      </c>
      <c r="E196">
        <v>914</v>
      </c>
      <c r="F196">
        <v>464</v>
      </c>
      <c r="G196">
        <v>246</v>
      </c>
      <c r="H196">
        <v>11882</v>
      </c>
      <c r="I196">
        <v>11500</v>
      </c>
      <c r="J196">
        <v>282</v>
      </c>
      <c r="K196" t="s">
        <v>369</v>
      </c>
      <c r="L196" t="s">
        <v>19</v>
      </c>
      <c r="M196" s="5">
        <v>0.13667732704931829</v>
      </c>
      <c r="N196">
        <f>Posts_1[[#This Row],[Likes]]+Posts_1[[#This Row],[Shares]]+Posts_1[[#This Row],[Comments]]</f>
        <v>1624</v>
      </c>
    </row>
    <row r="197" spans="1:14" x14ac:dyDescent="0.35">
      <c r="A197" t="s">
        <v>111</v>
      </c>
      <c r="B197" t="s">
        <v>30</v>
      </c>
      <c r="C197" s="1">
        <v>45645</v>
      </c>
      <c r="D197" t="s">
        <v>54</v>
      </c>
      <c r="E197">
        <v>1813</v>
      </c>
      <c r="F197">
        <v>623</v>
      </c>
      <c r="G197">
        <v>72</v>
      </c>
      <c r="H197">
        <v>19943</v>
      </c>
      <c r="I197">
        <v>18959</v>
      </c>
      <c r="J197">
        <v>85</v>
      </c>
      <c r="K197" t="s">
        <v>46</v>
      </c>
      <c r="L197" t="s">
        <v>15</v>
      </c>
      <c r="M197" s="5">
        <v>0.12575841147269717</v>
      </c>
      <c r="N197">
        <f>Posts_1[[#This Row],[Likes]]+Posts_1[[#This Row],[Shares]]+Posts_1[[#This Row],[Comments]]</f>
        <v>2508</v>
      </c>
    </row>
    <row r="198" spans="1:14" x14ac:dyDescent="0.35">
      <c r="A198" t="s">
        <v>112</v>
      </c>
      <c r="B198" t="s">
        <v>32</v>
      </c>
      <c r="C198" s="1">
        <v>45587</v>
      </c>
      <c r="D198" t="s">
        <v>48</v>
      </c>
      <c r="E198">
        <v>4782</v>
      </c>
      <c r="F198">
        <v>721</v>
      </c>
      <c r="G198">
        <v>82</v>
      </c>
      <c r="H198">
        <v>86076</v>
      </c>
      <c r="I198">
        <v>85339</v>
      </c>
      <c r="J198">
        <v>19</v>
      </c>
      <c r="K198" t="s">
        <v>46</v>
      </c>
      <c r="L198" t="s">
        <v>7</v>
      </c>
      <c r="M198" s="5">
        <v>6.4884520656164318E-2</v>
      </c>
      <c r="N198">
        <f>Posts_1[[#This Row],[Likes]]+Posts_1[[#This Row],[Shares]]+Posts_1[[#This Row],[Comments]]</f>
        <v>5585</v>
      </c>
    </row>
    <row r="199" spans="1:14" x14ac:dyDescent="0.35">
      <c r="A199" t="s">
        <v>293</v>
      </c>
      <c r="B199" t="s">
        <v>32</v>
      </c>
      <c r="C199" s="1">
        <v>45549</v>
      </c>
      <c r="D199" t="s">
        <v>50</v>
      </c>
      <c r="E199">
        <v>1048</v>
      </c>
      <c r="F199">
        <v>374</v>
      </c>
      <c r="G199">
        <v>450</v>
      </c>
      <c r="H199">
        <v>9432</v>
      </c>
      <c r="I199">
        <v>8882</v>
      </c>
      <c r="J199">
        <v>158</v>
      </c>
      <c r="K199" t="s">
        <v>157</v>
      </c>
      <c r="L199" t="s">
        <v>15</v>
      </c>
      <c r="M199" s="5">
        <v>0.19847328244274809</v>
      </c>
      <c r="N199">
        <f>Posts_1[[#This Row],[Likes]]+Posts_1[[#This Row],[Shares]]+Posts_1[[#This Row],[Comments]]</f>
        <v>1872</v>
      </c>
    </row>
    <row r="200" spans="1:14" x14ac:dyDescent="0.35">
      <c r="A200" t="s">
        <v>294</v>
      </c>
      <c r="B200" t="s">
        <v>33</v>
      </c>
      <c r="C200" s="1">
        <v>45626</v>
      </c>
      <c r="D200" t="s">
        <v>52</v>
      </c>
      <c r="E200">
        <v>2509</v>
      </c>
      <c r="F200">
        <v>324</v>
      </c>
      <c r="G200">
        <v>171</v>
      </c>
      <c r="H200">
        <v>35126</v>
      </c>
      <c r="I200">
        <v>34685</v>
      </c>
      <c r="J200">
        <v>277</v>
      </c>
      <c r="K200" t="s">
        <v>157</v>
      </c>
      <c r="L200" t="s">
        <v>11</v>
      </c>
      <c r="M200" s="5">
        <v>8.5520696919660646E-2</v>
      </c>
      <c r="N200">
        <f>Posts_1[[#This Row],[Likes]]+Posts_1[[#This Row],[Shares]]+Posts_1[[#This Row],[Comments]]</f>
        <v>3004</v>
      </c>
    </row>
    <row r="201" spans="1:14" x14ac:dyDescent="0.35">
      <c r="A201" t="s">
        <v>295</v>
      </c>
      <c r="B201" t="s">
        <v>31</v>
      </c>
      <c r="C201" s="1">
        <v>45754</v>
      </c>
      <c r="D201" t="s">
        <v>48</v>
      </c>
      <c r="E201">
        <v>3718</v>
      </c>
      <c r="F201">
        <v>385</v>
      </c>
      <c r="G201">
        <v>310</v>
      </c>
      <c r="H201">
        <v>70642</v>
      </c>
      <c r="I201">
        <v>69749</v>
      </c>
      <c r="J201">
        <v>233</v>
      </c>
      <c r="K201" t="s">
        <v>157</v>
      </c>
      <c r="L201" t="s">
        <v>11</v>
      </c>
      <c r="M201" s="5">
        <v>6.246991874522239E-2</v>
      </c>
      <c r="N201">
        <f>Posts_1[[#This Row],[Likes]]+Posts_1[[#This Row],[Shares]]+Posts_1[[#This Row],[Comments]]</f>
        <v>4413</v>
      </c>
    </row>
    <row r="202" spans="1:14" x14ac:dyDescent="0.35">
      <c r="A202" t="s">
        <v>113</v>
      </c>
      <c r="B202" t="s">
        <v>32</v>
      </c>
      <c r="C202" s="1">
        <v>45672</v>
      </c>
      <c r="D202" t="s">
        <v>48</v>
      </c>
      <c r="E202">
        <v>802</v>
      </c>
      <c r="F202">
        <v>262</v>
      </c>
      <c r="G202">
        <v>244</v>
      </c>
      <c r="H202">
        <v>14436</v>
      </c>
      <c r="I202">
        <v>14280</v>
      </c>
      <c r="J202">
        <v>49</v>
      </c>
      <c r="K202" t="s">
        <v>46</v>
      </c>
      <c r="L202" t="s">
        <v>7</v>
      </c>
      <c r="M202" s="5">
        <v>9.0606816292601824E-2</v>
      </c>
      <c r="N202">
        <f>Posts_1[[#This Row],[Likes]]+Posts_1[[#This Row],[Shares]]+Posts_1[[#This Row],[Comments]]</f>
        <v>1308</v>
      </c>
    </row>
    <row r="203" spans="1:14" x14ac:dyDescent="0.35">
      <c r="A203" t="s">
        <v>114</v>
      </c>
      <c r="B203" t="s">
        <v>31</v>
      </c>
      <c r="C203" s="1">
        <v>45445</v>
      </c>
      <c r="D203" t="s">
        <v>50</v>
      </c>
      <c r="E203">
        <v>1871</v>
      </c>
      <c r="F203">
        <v>252</v>
      </c>
      <c r="G203">
        <v>335</v>
      </c>
      <c r="H203">
        <v>29936</v>
      </c>
      <c r="I203">
        <v>29576</v>
      </c>
      <c r="J203">
        <v>288</v>
      </c>
      <c r="K203" t="s">
        <v>46</v>
      </c>
      <c r="L203" t="s">
        <v>15</v>
      </c>
      <c r="M203" s="5">
        <v>8.2108498129342594E-2</v>
      </c>
      <c r="N203">
        <f>Posts_1[[#This Row],[Likes]]+Posts_1[[#This Row],[Shares]]+Posts_1[[#This Row],[Comments]]</f>
        <v>2458</v>
      </c>
    </row>
    <row r="204" spans="1:14" x14ac:dyDescent="0.35">
      <c r="A204" t="s">
        <v>296</v>
      </c>
      <c r="B204" t="s">
        <v>30</v>
      </c>
      <c r="C204" s="1">
        <v>45617</v>
      </c>
      <c r="D204" t="s">
        <v>52</v>
      </c>
      <c r="E204">
        <v>3773</v>
      </c>
      <c r="F204">
        <v>299</v>
      </c>
      <c r="G204">
        <v>38</v>
      </c>
      <c r="H204">
        <v>71687</v>
      </c>
      <c r="I204">
        <v>71447</v>
      </c>
      <c r="J204">
        <v>286</v>
      </c>
      <c r="K204" t="s">
        <v>154</v>
      </c>
      <c r="L204" t="s">
        <v>7</v>
      </c>
      <c r="M204" s="5">
        <v>5.7332570758993957E-2</v>
      </c>
      <c r="N204">
        <f>Posts_1[[#This Row],[Likes]]+Posts_1[[#This Row],[Shares]]+Posts_1[[#This Row],[Comments]]</f>
        <v>4110</v>
      </c>
    </row>
    <row r="205" spans="1:14" x14ac:dyDescent="0.35">
      <c r="A205" t="s">
        <v>297</v>
      </c>
      <c r="B205" t="s">
        <v>30</v>
      </c>
      <c r="C205" s="1">
        <v>45658</v>
      </c>
      <c r="D205" t="s">
        <v>52</v>
      </c>
      <c r="E205">
        <v>2234</v>
      </c>
      <c r="F205">
        <v>653</v>
      </c>
      <c r="G205">
        <v>432</v>
      </c>
      <c r="H205">
        <v>11170</v>
      </c>
      <c r="I205">
        <v>10569</v>
      </c>
      <c r="J205">
        <v>198</v>
      </c>
      <c r="K205" t="s">
        <v>154</v>
      </c>
      <c r="L205" t="s">
        <v>15</v>
      </c>
      <c r="M205" s="5">
        <v>0.29713518352730528</v>
      </c>
      <c r="N205">
        <f>Posts_1[[#This Row],[Likes]]+Posts_1[[#This Row],[Shares]]+Posts_1[[#This Row],[Comments]]</f>
        <v>3319</v>
      </c>
    </row>
    <row r="206" spans="1:14" x14ac:dyDescent="0.35">
      <c r="A206" t="s">
        <v>298</v>
      </c>
      <c r="B206" t="s">
        <v>32</v>
      </c>
      <c r="C206" s="1">
        <v>45771</v>
      </c>
      <c r="D206" t="s">
        <v>58</v>
      </c>
      <c r="E206">
        <v>3820</v>
      </c>
      <c r="F206">
        <v>697</v>
      </c>
      <c r="G206">
        <v>268</v>
      </c>
      <c r="H206">
        <v>45840</v>
      </c>
      <c r="I206">
        <v>45631</v>
      </c>
      <c r="J206">
        <v>171</v>
      </c>
      <c r="K206" t="s">
        <v>372</v>
      </c>
      <c r="L206" t="s">
        <v>19</v>
      </c>
      <c r="M206" s="5">
        <v>0.1043848167539267</v>
      </c>
      <c r="N206">
        <f>Posts_1[[#This Row],[Likes]]+Posts_1[[#This Row],[Shares]]+Posts_1[[#This Row],[Comments]]</f>
        <v>4785</v>
      </c>
    </row>
    <row r="207" spans="1:14" x14ac:dyDescent="0.35">
      <c r="A207" t="s">
        <v>115</v>
      </c>
      <c r="B207" t="s">
        <v>32</v>
      </c>
      <c r="C207" s="1">
        <v>45467</v>
      </c>
      <c r="D207" t="s">
        <v>54</v>
      </c>
      <c r="E207">
        <v>941</v>
      </c>
      <c r="F207">
        <v>121</v>
      </c>
      <c r="G207">
        <v>458</v>
      </c>
      <c r="H207">
        <v>14115</v>
      </c>
      <c r="I207">
        <v>13838</v>
      </c>
      <c r="J207">
        <v>87</v>
      </c>
      <c r="K207" t="s">
        <v>46</v>
      </c>
      <c r="L207" t="s">
        <v>7</v>
      </c>
      <c r="M207" s="5">
        <v>0.10768685795253277</v>
      </c>
      <c r="N207">
        <f>Posts_1[[#This Row],[Likes]]+Posts_1[[#This Row],[Shares]]+Posts_1[[#This Row],[Comments]]</f>
        <v>1520</v>
      </c>
    </row>
    <row r="208" spans="1:14" x14ac:dyDescent="0.35">
      <c r="A208" t="s">
        <v>299</v>
      </c>
      <c r="B208" t="s">
        <v>32</v>
      </c>
      <c r="C208" s="1">
        <v>45655</v>
      </c>
      <c r="D208" t="s">
        <v>52</v>
      </c>
      <c r="E208">
        <v>4274</v>
      </c>
      <c r="F208">
        <v>340</v>
      </c>
      <c r="G208">
        <v>281</v>
      </c>
      <c r="H208">
        <v>34192</v>
      </c>
      <c r="I208">
        <v>33446</v>
      </c>
      <c r="J208">
        <v>129</v>
      </c>
      <c r="K208" t="s">
        <v>372</v>
      </c>
      <c r="L208" t="s">
        <v>15</v>
      </c>
      <c r="M208" s="5">
        <v>0.14316214319138981</v>
      </c>
      <c r="N208">
        <f>Posts_1[[#This Row],[Likes]]+Posts_1[[#This Row],[Shares]]+Posts_1[[#This Row],[Comments]]</f>
        <v>4895</v>
      </c>
    </row>
    <row r="209" spans="1:14" x14ac:dyDescent="0.35">
      <c r="A209" t="s">
        <v>300</v>
      </c>
      <c r="B209" t="s">
        <v>33</v>
      </c>
      <c r="C209" s="1">
        <v>45467</v>
      </c>
      <c r="D209" t="s">
        <v>58</v>
      </c>
      <c r="E209">
        <v>2949</v>
      </c>
      <c r="F209">
        <v>476</v>
      </c>
      <c r="G209">
        <v>403</v>
      </c>
      <c r="H209">
        <v>44235</v>
      </c>
      <c r="I209">
        <v>43705</v>
      </c>
      <c r="J209">
        <v>135</v>
      </c>
      <c r="K209" t="s">
        <v>157</v>
      </c>
      <c r="L209" t="s">
        <v>11</v>
      </c>
      <c r="M209" s="5">
        <v>8.6537809426924378E-2</v>
      </c>
      <c r="N209">
        <f>Posts_1[[#This Row],[Likes]]+Posts_1[[#This Row],[Shares]]+Posts_1[[#This Row],[Comments]]</f>
        <v>3828</v>
      </c>
    </row>
    <row r="210" spans="1:14" x14ac:dyDescent="0.35">
      <c r="A210" t="s">
        <v>301</v>
      </c>
      <c r="B210" t="s">
        <v>32</v>
      </c>
      <c r="C210" s="1">
        <v>45735</v>
      </c>
      <c r="D210" t="s">
        <v>58</v>
      </c>
      <c r="E210">
        <v>3160</v>
      </c>
      <c r="F210">
        <v>204</v>
      </c>
      <c r="G210">
        <v>297</v>
      </c>
      <c r="H210">
        <v>44240</v>
      </c>
      <c r="I210">
        <v>43666</v>
      </c>
      <c r="J210">
        <v>49</v>
      </c>
      <c r="K210" t="s">
        <v>364</v>
      </c>
      <c r="L210" t="s">
        <v>19</v>
      </c>
      <c r="M210" s="5">
        <v>8.2753164556962022E-2</v>
      </c>
      <c r="N210">
        <f>Posts_1[[#This Row],[Likes]]+Posts_1[[#This Row],[Shares]]+Posts_1[[#This Row],[Comments]]</f>
        <v>3661</v>
      </c>
    </row>
    <row r="211" spans="1:14" x14ac:dyDescent="0.35">
      <c r="A211" t="s">
        <v>302</v>
      </c>
      <c r="B211" t="s">
        <v>33</v>
      </c>
      <c r="C211" s="1">
        <v>45707</v>
      </c>
      <c r="D211" t="s">
        <v>50</v>
      </c>
      <c r="E211">
        <v>257</v>
      </c>
      <c r="F211">
        <v>966</v>
      </c>
      <c r="G211">
        <v>398</v>
      </c>
      <c r="H211">
        <v>3341</v>
      </c>
      <c r="I211">
        <v>2753</v>
      </c>
      <c r="J211">
        <v>287</v>
      </c>
      <c r="K211" t="s">
        <v>154</v>
      </c>
      <c r="L211" t="s">
        <v>7</v>
      </c>
      <c r="M211" s="5">
        <v>0.48518407662376534</v>
      </c>
      <c r="N211">
        <f>Posts_1[[#This Row],[Likes]]+Posts_1[[#This Row],[Shares]]+Posts_1[[#This Row],[Comments]]</f>
        <v>1621</v>
      </c>
    </row>
    <row r="212" spans="1:14" x14ac:dyDescent="0.35">
      <c r="A212" t="s">
        <v>303</v>
      </c>
      <c r="B212" t="s">
        <v>32</v>
      </c>
      <c r="C212" s="1">
        <v>45491</v>
      </c>
      <c r="D212" t="s">
        <v>52</v>
      </c>
      <c r="E212">
        <v>2120</v>
      </c>
      <c r="F212">
        <v>38</v>
      </c>
      <c r="G212">
        <v>212</v>
      </c>
      <c r="H212">
        <v>12720</v>
      </c>
      <c r="I212">
        <v>12564</v>
      </c>
      <c r="J212">
        <v>21</v>
      </c>
      <c r="K212" t="s">
        <v>154</v>
      </c>
      <c r="L212" t="s">
        <v>19</v>
      </c>
      <c r="M212" s="5">
        <v>0.18632075471698112</v>
      </c>
      <c r="N212">
        <f>Posts_1[[#This Row],[Likes]]+Posts_1[[#This Row],[Shares]]+Posts_1[[#This Row],[Comments]]</f>
        <v>2370</v>
      </c>
    </row>
    <row r="213" spans="1:14" x14ac:dyDescent="0.35">
      <c r="A213" t="s">
        <v>304</v>
      </c>
      <c r="B213" t="s">
        <v>33</v>
      </c>
      <c r="C213" s="1">
        <v>45719</v>
      </c>
      <c r="D213" t="s">
        <v>58</v>
      </c>
      <c r="E213">
        <v>3874</v>
      </c>
      <c r="F213">
        <v>884</v>
      </c>
      <c r="G213">
        <v>19</v>
      </c>
      <c r="H213">
        <v>38740</v>
      </c>
      <c r="I213">
        <v>38552</v>
      </c>
      <c r="J213">
        <v>219</v>
      </c>
      <c r="K213" t="s">
        <v>157</v>
      </c>
      <c r="L213" t="s">
        <v>11</v>
      </c>
      <c r="M213" s="5">
        <v>0.123309241094476</v>
      </c>
      <c r="N213">
        <f>Posts_1[[#This Row],[Likes]]+Posts_1[[#This Row],[Shares]]+Posts_1[[#This Row],[Comments]]</f>
        <v>4777</v>
      </c>
    </row>
    <row r="214" spans="1:14" x14ac:dyDescent="0.35">
      <c r="A214" t="s">
        <v>116</v>
      </c>
      <c r="B214" t="s">
        <v>31</v>
      </c>
      <c r="C214" s="1">
        <v>45778</v>
      </c>
      <c r="D214" t="s">
        <v>52</v>
      </c>
      <c r="E214">
        <v>2696</v>
      </c>
      <c r="F214">
        <v>628</v>
      </c>
      <c r="G214">
        <v>443</v>
      </c>
      <c r="H214">
        <v>45832</v>
      </c>
      <c r="I214">
        <v>45632</v>
      </c>
      <c r="J214">
        <v>248</v>
      </c>
      <c r="K214" t="s">
        <v>46</v>
      </c>
      <c r="L214" t="s">
        <v>19</v>
      </c>
      <c r="M214" s="5">
        <v>8.21914819340199E-2</v>
      </c>
      <c r="N214">
        <f>Posts_1[[#This Row],[Likes]]+Posts_1[[#This Row],[Shares]]+Posts_1[[#This Row],[Comments]]</f>
        <v>3767</v>
      </c>
    </row>
    <row r="215" spans="1:14" x14ac:dyDescent="0.35">
      <c r="A215" t="s">
        <v>305</v>
      </c>
      <c r="B215" t="s">
        <v>30</v>
      </c>
      <c r="C215" s="1">
        <v>45649</v>
      </c>
      <c r="D215" t="s">
        <v>50</v>
      </c>
      <c r="E215">
        <v>521</v>
      </c>
      <c r="F215">
        <v>746</v>
      </c>
      <c r="G215">
        <v>315</v>
      </c>
      <c r="H215">
        <v>4168</v>
      </c>
      <c r="I215">
        <v>3399</v>
      </c>
      <c r="J215">
        <v>282</v>
      </c>
      <c r="K215" t="s">
        <v>154</v>
      </c>
      <c r="L215" t="s">
        <v>11</v>
      </c>
      <c r="M215" s="5">
        <v>0.37955854126679461</v>
      </c>
      <c r="N215">
        <f>Posts_1[[#This Row],[Likes]]+Posts_1[[#This Row],[Shares]]+Posts_1[[#This Row],[Comments]]</f>
        <v>1582</v>
      </c>
    </row>
    <row r="216" spans="1:14" x14ac:dyDescent="0.35">
      <c r="A216" t="s">
        <v>117</v>
      </c>
      <c r="B216" t="s">
        <v>31</v>
      </c>
      <c r="C216" s="1">
        <v>45783</v>
      </c>
      <c r="D216" t="s">
        <v>50</v>
      </c>
      <c r="E216">
        <v>4872</v>
      </c>
      <c r="F216">
        <v>925</v>
      </c>
      <c r="G216">
        <v>176</v>
      </c>
      <c r="H216">
        <v>82824</v>
      </c>
      <c r="I216">
        <v>82543</v>
      </c>
      <c r="J216">
        <v>89</v>
      </c>
      <c r="K216" t="s">
        <v>46</v>
      </c>
      <c r="L216" t="s">
        <v>11</v>
      </c>
      <c r="M216" s="5">
        <v>7.2116777745580993E-2</v>
      </c>
      <c r="N216">
        <f>Posts_1[[#This Row],[Likes]]+Posts_1[[#This Row],[Shares]]+Posts_1[[#This Row],[Comments]]</f>
        <v>5973</v>
      </c>
    </row>
    <row r="217" spans="1:14" x14ac:dyDescent="0.35">
      <c r="A217" t="s">
        <v>118</v>
      </c>
      <c r="B217" t="s">
        <v>33</v>
      </c>
      <c r="C217" s="1">
        <v>45502</v>
      </c>
      <c r="D217" t="s">
        <v>45</v>
      </c>
      <c r="E217">
        <v>1509</v>
      </c>
      <c r="F217">
        <v>88</v>
      </c>
      <c r="G217">
        <v>163</v>
      </c>
      <c r="H217">
        <v>30180</v>
      </c>
      <c r="I217">
        <v>29689</v>
      </c>
      <c r="J217">
        <v>119</v>
      </c>
      <c r="K217" t="s">
        <v>46</v>
      </c>
      <c r="L217" t="s">
        <v>11</v>
      </c>
      <c r="M217" s="5">
        <v>5.8316766070245198E-2</v>
      </c>
      <c r="N217">
        <f>Posts_1[[#This Row],[Likes]]+Posts_1[[#This Row],[Shares]]+Posts_1[[#This Row],[Comments]]</f>
        <v>1760</v>
      </c>
    </row>
    <row r="218" spans="1:14" x14ac:dyDescent="0.35">
      <c r="A218" t="s">
        <v>306</v>
      </c>
      <c r="B218" t="s">
        <v>31</v>
      </c>
      <c r="C218" s="1">
        <v>45629</v>
      </c>
      <c r="D218" t="s">
        <v>50</v>
      </c>
      <c r="E218">
        <v>4606</v>
      </c>
      <c r="F218">
        <v>931</v>
      </c>
      <c r="G218">
        <v>230</v>
      </c>
      <c r="H218">
        <v>92120</v>
      </c>
      <c r="I218">
        <v>91440</v>
      </c>
      <c r="J218">
        <v>56</v>
      </c>
      <c r="K218" t="s">
        <v>157</v>
      </c>
      <c r="L218" t="s">
        <v>56</v>
      </c>
      <c r="M218" s="5">
        <v>6.2603126356925748E-2</v>
      </c>
      <c r="N218">
        <f>Posts_1[[#This Row],[Likes]]+Posts_1[[#This Row],[Shares]]+Posts_1[[#This Row],[Comments]]</f>
        <v>5767</v>
      </c>
    </row>
    <row r="219" spans="1:14" x14ac:dyDescent="0.35">
      <c r="A219" t="s">
        <v>307</v>
      </c>
      <c r="B219" t="s">
        <v>31</v>
      </c>
      <c r="C219" s="1">
        <v>45454</v>
      </c>
      <c r="D219" t="s">
        <v>52</v>
      </c>
      <c r="E219">
        <v>1869</v>
      </c>
      <c r="F219">
        <v>453</v>
      </c>
      <c r="G219">
        <v>490</v>
      </c>
      <c r="H219">
        <v>14952</v>
      </c>
      <c r="I219">
        <v>14309</v>
      </c>
      <c r="J219">
        <v>275</v>
      </c>
      <c r="K219" t="s">
        <v>157</v>
      </c>
      <c r="L219" t="s">
        <v>19</v>
      </c>
      <c r="M219" s="5">
        <v>0.18806848582129482</v>
      </c>
      <c r="N219">
        <f>Posts_1[[#This Row],[Likes]]+Posts_1[[#This Row],[Shares]]+Posts_1[[#This Row],[Comments]]</f>
        <v>2812</v>
      </c>
    </row>
    <row r="220" spans="1:14" x14ac:dyDescent="0.35">
      <c r="A220" t="s">
        <v>308</v>
      </c>
      <c r="B220" t="s">
        <v>32</v>
      </c>
      <c r="C220" s="1">
        <v>45685</v>
      </c>
      <c r="D220" t="s">
        <v>48</v>
      </c>
      <c r="E220">
        <v>1188</v>
      </c>
      <c r="F220">
        <v>470</v>
      </c>
      <c r="G220">
        <v>174</v>
      </c>
      <c r="H220">
        <v>7128</v>
      </c>
      <c r="I220">
        <v>6145</v>
      </c>
      <c r="J220">
        <v>270</v>
      </c>
      <c r="K220" t="s">
        <v>157</v>
      </c>
      <c r="L220" t="s">
        <v>19</v>
      </c>
      <c r="M220" s="5">
        <v>0.25701459034792368</v>
      </c>
      <c r="N220">
        <f>Posts_1[[#This Row],[Likes]]+Posts_1[[#This Row],[Shares]]+Posts_1[[#This Row],[Comments]]</f>
        <v>1832</v>
      </c>
    </row>
    <row r="221" spans="1:14" x14ac:dyDescent="0.35">
      <c r="A221" t="s">
        <v>119</v>
      </c>
      <c r="B221" t="s">
        <v>30</v>
      </c>
      <c r="C221" s="1">
        <v>45445</v>
      </c>
      <c r="D221" t="s">
        <v>45</v>
      </c>
      <c r="E221">
        <v>84</v>
      </c>
      <c r="F221">
        <v>897</v>
      </c>
      <c r="G221">
        <v>85</v>
      </c>
      <c r="H221">
        <v>588</v>
      </c>
      <c r="I221">
        <v>8</v>
      </c>
      <c r="J221">
        <v>12</v>
      </c>
      <c r="K221" t="s">
        <v>46</v>
      </c>
      <c r="L221" t="s">
        <v>56</v>
      </c>
      <c r="M221" s="5">
        <v>1.8129251700680271</v>
      </c>
      <c r="N221">
        <f>Posts_1[[#This Row],[Likes]]+Posts_1[[#This Row],[Shares]]+Posts_1[[#This Row],[Comments]]</f>
        <v>1066</v>
      </c>
    </row>
    <row r="222" spans="1:14" x14ac:dyDescent="0.35">
      <c r="A222" t="s">
        <v>309</v>
      </c>
      <c r="B222" t="s">
        <v>31</v>
      </c>
      <c r="C222" s="1">
        <v>45739</v>
      </c>
      <c r="D222" t="s">
        <v>58</v>
      </c>
      <c r="E222">
        <v>4453</v>
      </c>
      <c r="F222">
        <v>111</v>
      </c>
      <c r="G222">
        <v>420</v>
      </c>
      <c r="H222">
        <v>31171</v>
      </c>
      <c r="I222">
        <v>30565</v>
      </c>
      <c r="J222">
        <v>23</v>
      </c>
      <c r="K222" t="s">
        <v>157</v>
      </c>
      <c r="L222" t="s">
        <v>56</v>
      </c>
      <c r="M222" s="5">
        <v>0.15989220750056141</v>
      </c>
      <c r="N222">
        <f>Posts_1[[#This Row],[Likes]]+Posts_1[[#This Row],[Shares]]+Posts_1[[#This Row],[Comments]]</f>
        <v>4984</v>
      </c>
    </row>
    <row r="223" spans="1:14" x14ac:dyDescent="0.35">
      <c r="A223" t="s">
        <v>310</v>
      </c>
      <c r="B223" t="s">
        <v>31</v>
      </c>
      <c r="C223" s="1">
        <v>45573</v>
      </c>
      <c r="D223" t="s">
        <v>48</v>
      </c>
      <c r="E223">
        <v>1814</v>
      </c>
      <c r="F223">
        <v>653</v>
      </c>
      <c r="G223">
        <v>363</v>
      </c>
      <c r="H223">
        <v>25396</v>
      </c>
      <c r="I223">
        <v>25286</v>
      </c>
      <c r="J223">
        <v>39</v>
      </c>
      <c r="K223" t="s">
        <v>373</v>
      </c>
      <c r="L223" t="s">
        <v>7</v>
      </c>
      <c r="M223" s="5">
        <v>0.11143487163332809</v>
      </c>
      <c r="N223">
        <f>Posts_1[[#This Row],[Likes]]+Posts_1[[#This Row],[Shares]]+Posts_1[[#This Row],[Comments]]</f>
        <v>2830</v>
      </c>
    </row>
    <row r="224" spans="1:14" x14ac:dyDescent="0.35">
      <c r="A224" t="s">
        <v>311</v>
      </c>
      <c r="B224" t="s">
        <v>32</v>
      </c>
      <c r="C224" s="1">
        <v>45608</v>
      </c>
      <c r="D224" t="s">
        <v>50</v>
      </c>
      <c r="E224">
        <v>3338</v>
      </c>
      <c r="F224">
        <v>277</v>
      </c>
      <c r="G224">
        <v>118</v>
      </c>
      <c r="H224">
        <v>60084</v>
      </c>
      <c r="I224">
        <v>59842</v>
      </c>
      <c r="J224">
        <v>252</v>
      </c>
      <c r="K224" t="s">
        <v>157</v>
      </c>
      <c r="L224" t="s">
        <v>56</v>
      </c>
      <c r="M224" s="5">
        <v>6.2129685107516146E-2</v>
      </c>
      <c r="N224">
        <f>Posts_1[[#This Row],[Likes]]+Posts_1[[#This Row],[Shares]]+Posts_1[[#This Row],[Comments]]</f>
        <v>3733</v>
      </c>
    </row>
    <row r="225" spans="1:14" x14ac:dyDescent="0.35">
      <c r="A225" t="s">
        <v>312</v>
      </c>
      <c r="B225" t="s">
        <v>31</v>
      </c>
      <c r="C225" s="1">
        <v>45790</v>
      </c>
      <c r="D225" t="s">
        <v>50</v>
      </c>
      <c r="E225">
        <v>602</v>
      </c>
      <c r="F225">
        <v>594</v>
      </c>
      <c r="G225">
        <v>156</v>
      </c>
      <c r="H225">
        <v>4214</v>
      </c>
      <c r="I225">
        <v>3363</v>
      </c>
      <c r="J225">
        <v>164</v>
      </c>
      <c r="K225" t="s">
        <v>157</v>
      </c>
      <c r="L225" t="s">
        <v>15</v>
      </c>
      <c r="M225" s="5">
        <v>0.32083531086853345</v>
      </c>
      <c r="N225">
        <f>Posts_1[[#This Row],[Likes]]+Posts_1[[#This Row],[Shares]]+Posts_1[[#This Row],[Comments]]</f>
        <v>1352</v>
      </c>
    </row>
    <row r="226" spans="1:14" x14ac:dyDescent="0.35">
      <c r="A226" t="s">
        <v>120</v>
      </c>
      <c r="B226" t="s">
        <v>32</v>
      </c>
      <c r="C226" s="1">
        <v>45463</v>
      </c>
      <c r="D226" t="s">
        <v>52</v>
      </c>
      <c r="E226">
        <v>4672</v>
      </c>
      <c r="F226">
        <v>325</v>
      </c>
      <c r="G226">
        <v>32</v>
      </c>
      <c r="H226">
        <v>88768</v>
      </c>
      <c r="I226">
        <v>87833</v>
      </c>
      <c r="J226">
        <v>118</v>
      </c>
      <c r="K226" t="s">
        <v>46</v>
      </c>
      <c r="L226" t="s">
        <v>56</v>
      </c>
      <c r="M226" s="5">
        <v>5.6653298485940883E-2</v>
      </c>
      <c r="N226">
        <f>Posts_1[[#This Row],[Likes]]+Posts_1[[#This Row],[Shares]]+Posts_1[[#This Row],[Comments]]</f>
        <v>5029</v>
      </c>
    </row>
    <row r="227" spans="1:14" x14ac:dyDescent="0.35">
      <c r="A227" t="s">
        <v>313</v>
      </c>
      <c r="B227" t="s">
        <v>30</v>
      </c>
      <c r="C227" s="1">
        <v>45511</v>
      </c>
      <c r="D227" t="s">
        <v>52</v>
      </c>
      <c r="E227">
        <v>1741</v>
      </c>
      <c r="F227">
        <v>164</v>
      </c>
      <c r="G227">
        <v>318</v>
      </c>
      <c r="H227">
        <v>8705</v>
      </c>
      <c r="I227">
        <v>8272</v>
      </c>
      <c r="J227">
        <v>121</v>
      </c>
      <c r="K227" t="s">
        <v>157</v>
      </c>
      <c r="L227" t="s">
        <v>56</v>
      </c>
      <c r="M227" s="5">
        <v>0.25537047673750718</v>
      </c>
      <c r="N227">
        <f>Posts_1[[#This Row],[Likes]]+Posts_1[[#This Row],[Shares]]+Posts_1[[#This Row],[Comments]]</f>
        <v>2223</v>
      </c>
    </row>
    <row r="228" spans="1:14" x14ac:dyDescent="0.35">
      <c r="A228" t="s">
        <v>314</v>
      </c>
      <c r="B228" t="s">
        <v>30</v>
      </c>
      <c r="C228" s="1">
        <v>45455</v>
      </c>
      <c r="D228" t="s">
        <v>54</v>
      </c>
      <c r="E228">
        <v>246</v>
      </c>
      <c r="F228">
        <v>149</v>
      </c>
      <c r="G228">
        <v>130</v>
      </c>
      <c r="H228">
        <v>4674</v>
      </c>
      <c r="I228">
        <v>4390</v>
      </c>
      <c r="J228">
        <v>217</v>
      </c>
      <c r="K228" t="s">
        <v>154</v>
      </c>
      <c r="L228" t="s">
        <v>15</v>
      </c>
      <c r="M228" s="5">
        <v>0.11232349165596919</v>
      </c>
      <c r="N228">
        <f>Posts_1[[#This Row],[Likes]]+Posts_1[[#This Row],[Shares]]+Posts_1[[#This Row],[Comments]]</f>
        <v>525</v>
      </c>
    </row>
    <row r="229" spans="1:14" x14ac:dyDescent="0.35">
      <c r="A229" t="s">
        <v>121</v>
      </c>
      <c r="B229" t="s">
        <v>30</v>
      </c>
      <c r="C229" s="1">
        <v>45474</v>
      </c>
      <c r="D229" t="s">
        <v>45</v>
      </c>
      <c r="E229">
        <v>4808</v>
      </c>
      <c r="F229">
        <v>772</v>
      </c>
      <c r="G229">
        <v>320</v>
      </c>
      <c r="H229">
        <v>72120</v>
      </c>
      <c r="I229">
        <v>71696</v>
      </c>
      <c r="J229">
        <v>195</v>
      </c>
      <c r="K229" t="s">
        <v>46</v>
      </c>
      <c r="L229" t="s">
        <v>7</v>
      </c>
      <c r="M229" s="5">
        <v>8.1808097615085965E-2</v>
      </c>
      <c r="N229">
        <f>Posts_1[[#This Row],[Likes]]+Posts_1[[#This Row],[Shares]]+Posts_1[[#This Row],[Comments]]</f>
        <v>5900</v>
      </c>
    </row>
    <row r="230" spans="1:14" x14ac:dyDescent="0.35">
      <c r="A230" t="s">
        <v>315</v>
      </c>
      <c r="B230" t="s">
        <v>30</v>
      </c>
      <c r="C230" s="1">
        <v>45476</v>
      </c>
      <c r="D230" t="s">
        <v>52</v>
      </c>
      <c r="E230">
        <v>4799</v>
      </c>
      <c r="F230">
        <v>694</v>
      </c>
      <c r="G230">
        <v>289</v>
      </c>
      <c r="H230">
        <v>43191</v>
      </c>
      <c r="I230">
        <v>42228</v>
      </c>
      <c r="J230">
        <v>118</v>
      </c>
      <c r="K230" t="s">
        <v>157</v>
      </c>
      <c r="L230" t="s">
        <v>56</v>
      </c>
      <c r="M230" s="5">
        <v>0.13387048227640017</v>
      </c>
      <c r="N230">
        <f>Posts_1[[#This Row],[Likes]]+Posts_1[[#This Row],[Shares]]+Posts_1[[#This Row],[Comments]]</f>
        <v>5782</v>
      </c>
    </row>
    <row r="231" spans="1:14" x14ac:dyDescent="0.35">
      <c r="A231" t="s">
        <v>122</v>
      </c>
      <c r="B231" t="s">
        <v>31</v>
      </c>
      <c r="C231" s="1">
        <v>45488</v>
      </c>
      <c r="D231" t="s">
        <v>48</v>
      </c>
      <c r="E231">
        <v>3663</v>
      </c>
      <c r="F231">
        <v>17</v>
      </c>
      <c r="G231">
        <v>295</v>
      </c>
      <c r="H231">
        <v>51282</v>
      </c>
      <c r="I231">
        <v>50567</v>
      </c>
      <c r="J231">
        <v>84</v>
      </c>
      <c r="K231" t="s">
        <v>46</v>
      </c>
      <c r="L231" t="s">
        <v>15</v>
      </c>
      <c r="M231" s="5">
        <v>7.7512577512577507E-2</v>
      </c>
      <c r="N231">
        <f>Posts_1[[#This Row],[Likes]]+Posts_1[[#This Row],[Shares]]+Posts_1[[#This Row],[Comments]]</f>
        <v>3975</v>
      </c>
    </row>
    <row r="232" spans="1:14" x14ac:dyDescent="0.35">
      <c r="A232" t="s">
        <v>316</v>
      </c>
      <c r="B232" t="s">
        <v>30</v>
      </c>
      <c r="C232" s="1">
        <v>45778</v>
      </c>
      <c r="D232" t="s">
        <v>54</v>
      </c>
      <c r="E232">
        <v>1430</v>
      </c>
      <c r="F232">
        <v>376</v>
      </c>
      <c r="G232">
        <v>33</v>
      </c>
      <c r="H232">
        <v>21450</v>
      </c>
      <c r="I232">
        <v>20509</v>
      </c>
      <c r="J232">
        <v>251</v>
      </c>
      <c r="K232" t="s">
        <v>154</v>
      </c>
      <c r="L232" t="s">
        <v>7</v>
      </c>
      <c r="M232" s="5">
        <v>8.5734265734265735E-2</v>
      </c>
      <c r="N232">
        <f>Posts_1[[#This Row],[Likes]]+Posts_1[[#This Row],[Shares]]+Posts_1[[#This Row],[Comments]]</f>
        <v>1839</v>
      </c>
    </row>
    <row r="233" spans="1:14" x14ac:dyDescent="0.35">
      <c r="A233" t="s">
        <v>123</v>
      </c>
      <c r="B233" t="s">
        <v>32</v>
      </c>
      <c r="C233" s="1">
        <v>45776</v>
      </c>
      <c r="D233" t="s">
        <v>45</v>
      </c>
      <c r="E233">
        <v>249</v>
      </c>
      <c r="F233">
        <v>592</v>
      </c>
      <c r="G233">
        <v>230</v>
      </c>
      <c r="H233">
        <v>1494</v>
      </c>
      <c r="I233">
        <v>1044</v>
      </c>
      <c r="J233">
        <v>201</v>
      </c>
      <c r="K233" t="s">
        <v>46</v>
      </c>
      <c r="L233" t="s">
        <v>19</v>
      </c>
      <c r="M233" s="5">
        <v>0.7168674698795181</v>
      </c>
      <c r="N233">
        <f>Posts_1[[#This Row],[Likes]]+Posts_1[[#This Row],[Shares]]+Posts_1[[#This Row],[Comments]]</f>
        <v>1071</v>
      </c>
    </row>
    <row r="234" spans="1:14" x14ac:dyDescent="0.35">
      <c r="A234" t="s">
        <v>317</v>
      </c>
      <c r="B234" t="s">
        <v>31</v>
      </c>
      <c r="C234" s="1">
        <v>45724</v>
      </c>
      <c r="D234" t="s">
        <v>50</v>
      </c>
      <c r="E234">
        <v>2382</v>
      </c>
      <c r="F234">
        <v>265</v>
      </c>
      <c r="G234">
        <v>134</v>
      </c>
      <c r="H234">
        <v>38112</v>
      </c>
      <c r="I234">
        <v>37437</v>
      </c>
      <c r="J234">
        <v>249</v>
      </c>
      <c r="K234" t="s">
        <v>154</v>
      </c>
      <c r="L234" t="s">
        <v>19</v>
      </c>
      <c r="M234" s="5">
        <v>7.2969143576826198E-2</v>
      </c>
      <c r="N234">
        <f>Posts_1[[#This Row],[Likes]]+Posts_1[[#This Row],[Shares]]+Posts_1[[#This Row],[Comments]]</f>
        <v>2781</v>
      </c>
    </row>
    <row r="235" spans="1:14" x14ac:dyDescent="0.35">
      <c r="A235" t="s">
        <v>318</v>
      </c>
      <c r="B235" t="s">
        <v>31</v>
      </c>
      <c r="C235" s="1">
        <v>45444</v>
      </c>
      <c r="D235" t="s">
        <v>54</v>
      </c>
      <c r="E235">
        <v>1272</v>
      </c>
      <c r="F235">
        <v>465</v>
      </c>
      <c r="G235">
        <v>99</v>
      </c>
      <c r="H235">
        <v>24168</v>
      </c>
      <c r="I235">
        <v>23719</v>
      </c>
      <c r="J235">
        <v>42</v>
      </c>
      <c r="K235" t="s">
        <v>157</v>
      </c>
      <c r="L235" t="s">
        <v>56</v>
      </c>
      <c r="M235" s="5">
        <v>7.5968222442899705E-2</v>
      </c>
      <c r="N235">
        <f>Posts_1[[#This Row],[Likes]]+Posts_1[[#This Row],[Shares]]+Posts_1[[#This Row],[Comments]]</f>
        <v>1836</v>
      </c>
    </row>
    <row r="236" spans="1:14" x14ac:dyDescent="0.35">
      <c r="A236" t="s">
        <v>319</v>
      </c>
      <c r="B236" t="s">
        <v>31</v>
      </c>
      <c r="C236" s="1">
        <v>45648</v>
      </c>
      <c r="D236" t="s">
        <v>50</v>
      </c>
      <c r="E236">
        <v>3196</v>
      </c>
      <c r="F236">
        <v>941</v>
      </c>
      <c r="G236">
        <v>376</v>
      </c>
      <c r="H236">
        <v>35156</v>
      </c>
      <c r="I236">
        <v>34444</v>
      </c>
      <c r="J236">
        <v>241</v>
      </c>
      <c r="K236" t="s">
        <v>157</v>
      </c>
      <c r="L236" t="s">
        <v>15</v>
      </c>
      <c r="M236" s="5">
        <v>0.1283706906360223</v>
      </c>
      <c r="N236">
        <f>Posts_1[[#This Row],[Likes]]+Posts_1[[#This Row],[Shares]]+Posts_1[[#This Row],[Comments]]</f>
        <v>4513</v>
      </c>
    </row>
    <row r="237" spans="1:14" x14ac:dyDescent="0.35">
      <c r="A237" t="s">
        <v>124</v>
      </c>
      <c r="B237" t="s">
        <v>31</v>
      </c>
      <c r="C237" s="1">
        <v>45523</v>
      </c>
      <c r="D237" t="s">
        <v>54</v>
      </c>
      <c r="E237">
        <v>1257</v>
      </c>
      <c r="F237">
        <v>19</v>
      </c>
      <c r="G237">
        <v>351</v>
      </c>
      <c r="H237">
        <v>12570</v>
      </c>
      <c r="I237">
        <v>11660</v>
      </c>
      <c r="J237">
        <v>194</v>
      </c>
      <c r="K237" t="s">
        <v>374</v>
      </c>
      <c r="L237" t="s">
        <v>11</v>
      </c>
      <c r="M237" s="5">
        <v>0.12943516308671441</v>
      </c>
      <c r="N237">
        <f>Posts_1[[#This Row],[Likes]]+Posts_1[[#This Row],[Shares]]+Posts_1[[#This Row],[Comments]]</f>
        <v>1627</v>
      </c>
    </row>
    <row r="238" spans="1:14" x14ac:dyDescent="0.35">
      <c r="A238" t="s">
        <v>320</v>
      </c>
      <c r="B238" t="s">
        <v>30</v>
      </c>
      <c r="C238" s="1">
        <v>45587</v>
      </c>
      <c r="D238" t="s">
        <v>45</v>
      </c>
      <c r="E238">
        <v>3770</v>
      </c>
      <c r="F238">
        <v>917</v>
      </c>
      <c r="G238">
        <v>129</v>
      </c>
      <c r="H238">
        <v>71630</v>
      </c>
      <c r="I238">
        <v>71322</v>
      </c>
      <c r="J238">
        <v>76</v>
      </c>
      <c r="K238" t="s">
        <v>154</v>
      </c>
      <c r="L238" t="s">
        <v>7</v>
      </c>
      <c r="M238" s="5">
        <v>6.7234398994834563E-2</v>
      </c>
      <c r="N238">
        <f>Posts_1[[#This Row],[Likes]]+Posts_1[[#This Row],[Shares]]+Posts_1[[#This Row],[Comments]]</f>
        <v>4816</v>
      </c>
    </row>
    <row r="239" spans="1:14" x14ac:dyDescent="0.35">
      <c r="A239" t="s">
        <v>321</v>
      </c>
      <c r="B239" t="s">
        <v>32</v>
      </c>
      <c r="C239" s="1">
        <v>45489</v>
      </c>
      <c r="D239" t="s">
        <v>54</v>
      </c>
      <c r="E239">
        <v>4725</v>
      </c>
      <c r="F239">
        <v>400</v>
      </c>
      <c r="G239">
        <v>362</v>
      </c>
      <c r="H239">
        <v>75600</v>
      </c>
      <c r="I239">
        <v>74927</v>
      </c>
      <c r="J239">
        <v>43</v>
      </c>
      <c r="K239" t="s">
        <v>154</v>
      </c>
      <c r="L239" t="s">
        <v>19</v>
      </c>
      <c r="M239" s="5">
        <v>7.2579365079365077E-2</v>
      </c>
      <c r="N239">
        <f>Posts_1[[#This Row],[Likes]]+Posts_1[[#This Row],[Shares]]+Posts_1[[#This Row],[Comments]]</f>
        <v>5487</v>
      </c>
    </row>
    <row r="240" spans="1:14" x14ac:dyDescent="0.35">
      <c r="A240" t="s">
        <v>322</v>
      </c>
      <c r="B240" t="s">
        <v>33</v>
      </c>
      <c r="C240" s="1">
        <v>45712</v>
      </c>
      <c r="D240" t="s">
        <v>54</v>
      </c>
      <c r="E240">
        <v>4188</v>
      </c>
      <c r="F240">
        <v>942</v>
      </c>
      <c r="G240">
        <v>118</v>
      </c>
      <c r="H240">
        <v>20940</v>
      </c>
      <c r="I240">
        <v>20471</v>
      </c>
      <c r="J240">
        <v>102</v>
      </c>
      <c r="K240" t="s">
        <v>154</v>
      </c>
      <c r="L240" t="s">
        <v>56</v>
      </c>
      <c r="M240" s="5">
        <v>0.25062082139446035</v>
      </c>
      <c r="N240">
        <f>Posts_1[[#This Row],[Likes]]+Posts_1[[#This Row],[Shares]]+Posts_1[[#This Row],[Comments]]</f>
        <v>5248</v>
      </c>
    </row>
    <row r="241" spans="1:14" x14ac:dyDescent="0.35">
      <c r="A241" t="s">
        <v>125</v>
      </c>
      <c r="B241" t="s">
        <v>32</v>
      </c>
      <c r="C241" s="1">
        <v>45530</v>
      </c>
      <c r="D241" t="s">
        <v>52</v>
      </c>
      <c r="E241">
        <v>929</v>
      </c>
      <c r="F241">
        <v>192</v>
      </c>
      <c r="G241">
        <v>322</v>
      </c>
      <c r="H241">
        <v>16722</v>
      </c>
      <c r="I241">
        <v>15996</v>
      </c>
      <c r="J241">
        <v>145</v>
      </c>
      <c r="K241" t="s">
        <v>368</v>
      </c>
      <c r="L241" t="s">
        <v>15</v>
      </c>
      <c r="M241" s="5">
        <v>8.6293505561535699E-2</v>
      </c>
      <c r="N241">
        <f>Posts_1[[#This Row],[Likes]]+Posts_1[[#This Row],[Shares]]+Posts_1[[#This Row],[Comments]]</f>
        <v>1443</v>
      </c>
    </row>
    <row r="242" spans="1:14" x14ac:dyDescent="0.35">
      <c r="A242" t="s">
        <v>323</v>
      </c>
      <c r="B242" t="s">
        <v>31</v>
      </c>
      <c r="C242" s="1">
        <v>45675</v>
      </c>
      <c r="D242" t="s">
        <v>45</v>
      </c>
      <c r="E242">
        <v>4321</v>
      </c>
      <c r="F242">
        <v>874</v>
      </c>
      <c r="G242">
        <v>172</v>
      </c>
      <c r="H242">
        <v>30247</v>
      </c>
      <c r="I242">
        <v>29254</v>
      </c>
      <c r="J242">
        <v>122</v>
      </c>
      <c r="K242" t="s">
        <v>157</v>
      </c>
      <c r="L242" t="s">
        <v>19</v>
      </c>
      <c r="M242" s="5">
        <v>0.17743908486792079</v>
      </c>
      <c r="N242">
        <f>Posts_1[[#This Row],[Likes]]+Posts_1[[#This Row],[Shares]]+Posts_1[[#This Row],[Comments]]</f>
        <v>5367</v>
      </c>
    </row>
    <row r="243" spans="1:14" x14ac:dyDescent="0.35">
      <c r="A243" t="s">
        <v>126</v>
      </c>
      <c r="B243" t="s">
        <v>31</v>
      </c>
      <c r="C243" s="1">
        <v>45480</v>
      </c>
      <c r="D243" t="s">
        <v>48</v>
      </c>
      <c r="E243">
        <v>4767</v>
      </c>
      <c r="F243">
        <v>190</v>
      </c>
      <c r="G243">
        <v>340</v>
      </c>
      <c r="H243">
        <v>28602</v>
      </c>
      <c r="I243">
        <v>28044</v>
      </c>
      <c r="J243">
        <v>210</v>
      </c>
      <c r="K243" t="s">
        <v>46</v>
      </c>
      <c r="L243" t="s">
        <v>15</v>
      </c>
      <c r="M243" s="5">
        <v>0.18519683938186141</v>
      </c>
      <c r="N243">
        <f>Posts_1[[#This Row],[Likes]]+Posts_1[[#This Row],[Shares]]+Posts_1[[#This Row],[Comments]]</f>
        <v>5297</v>
      </c>
    </row>
    <row r="244" spans="1:14" x14ac:dyDescent="0.35">
      <c r="A244" t="s">
        <v>324</v>
      </c>
      <c r="B244" t="s">
        <v>32</v>
      </c>
      <c r="C244" s="1">
        <v>45722</v>
      </c>
      <c r="D244" t="s">
        <v>50</v>
      </c>
      <c r="E244">
        <v>3592</v>
      </c>
      <c r="F244">
        <v>911</v>
      </c>
      <c r="G244">
        <v>375</v>
      </c>
      <c r="H244">
        <v>50288</v>
      </c>
      <c r="I244">
        <v>49490</v>
      </c>
      <c r="J244">
        <v>32</v>
      </c>
      <c r="K244" t="s">
        <v>154</v>
      </c>
      <c r="L244" t="s">
        <v>19</v>
      </c>
      <c r="M244" s="5">
        <v>9.7001272669424113E-2</v>
      </c>
      <c r="N244">
        <f>Posts_1[[#This Row],[Likes]]+Posts_1[[#This Row],[Shares]]+Posts_1[[#This Row],[Comments]]</f>
        <v>4878</v>
      </c>
    </row>
    <row r="245" spans="1:14" x14ac:dyDescent="0.35">
      <c r="A245" t="s">
        <v>325</v>
      </c>
      <c r="B245" t="s">
        <v>33</v>
      </c>
      <c r="C245" s="1">
        <v>45590</v>
      </c>
      <c r="D245" t="s">
        <v>58</v>
      </c>
      <c r="E245">
        <v>4661</v>
      </c>
      <c r="F245">
        <v>935</v>
      </c>
      <c r="G245">
        <v>433</v>
      </c>
      <c r="H245">
        <v>23305</v>
      </c>
      <c r="I245">
        <v>22583</v>
      </c>
      <c r="J245">
        <v>63</v>
      </c>
      <c r="K245" t="s">
        <v>154</v>
      </c>
      <c r="L245" t="s">
        <v>15</v>
      </c>
      <c r="M245" s="5">
        <v>0.25869984981763572</v>
      </c>
      <c r="N245">
        <f>Posts_1[[#This Row],[Likes]]+Posts_1[[#This Row],[Shares]]+Posts_1[[#This Row],[Comments]]</f>
        <v>6029</v>
      </c>
    </row>
    <row r="246" spans="1:14" x14ac:dyDescent="0.35">
      <c r="A246" t="s">
        <v>127</v>
      </c>
      <c r="B246" t="s">
        <v>31</v>
      </c>
      <c r="C246" s="1">
        <v>45669</v>
      </c>
      <c r="D246" t="s">
        <v>48</v>
      </c>
      <c r="E246">
        <v>4134</v>
      </c>
      <c r="F246">
        <v>824</v>
      </c>
      <c r="G246">
        <v>99</v>
      </c>
      <c r="H246">
        <v>41340</v>
      </c>
      <c r="I246">
        <v>41050</v>
      </c>
      <c r="J246">
        <v>177</v>
      </c>
      <c r="K246" t="s">
        <v>46</v>
      </c>
      <c r="L246" t="s">
        <v>7</v>
      </c>
      <c r="M246" s="5">
        <v>0.12232704402515723</v>
      </c>
      <c r="N246">
        <f>Posts_1[[#This Row],[Likes]]+Posts_1[[#This Row],[Shares]]+Posts_1[[#This Row],[Comments]]</f>
        <v>5057</v>
      </c>
    </row>
    <row r="247" spans="1:14" x14ac:dyDescent="0.35">
      <c r="A247" t="s">
        <v>326</v>
      </c>
      <c r="B247" t="s">
        <v>31</v>
      </c>
      <c r="C247" s="1">
        <v>45576</v>
      </c>
      <c r="D247" t="s">
        <v>50</v>
      </c>
      <c r="E247">
        <v>400</v>
      </c>
      <c r="F247">
        <v>680</v>
      </c>
      <c r="G247">
        <v>434</v>
      </c>
      <c r="H247">
        <v>6400</v>
      </c>
      <c r="I247">
        <v>5472</v>
      </c>
      <c r="J247">
        <v>160</v>
      </c>
      <c r="K247" t="s">
        <v>154</v>
      </c>
      <c r="L247" t="s">
        <v>11</v>
      </c>
      <c r="M247" s="5">
        <v>0.23656250000000001</v>
      </c>
      <c r="N247">
        <f>Posts_1[[#This Row],[Likes]]+Posts_1[[#This Row],[Shares]]+Posts_1[[#This Row],[Comments]]</f>
        <v>1514</v>
      </c>
    </row>
    <row r="248" spans="1:14" x14ac:dyDescent="0.35">
      <c r="A248" t="s">
        <v>128</v>
      </c>
      <c r="B248" t="s">
        <v>31</v>
      </c>
      <c r="C248" s="1">
        <v>45531</v>
      </c>
      <c r="D248" t="s">
        <v>48</v>
      </c>
      <c r="E248">
        <v>3960</v>
      </c>
      <c r="F248">
        <v>266</v>
      </c>
      <c r="G248">
        <v>8</v>
      </c>
      <c r="H248">
        <v>35640</v>
      </c>
      <c r="I248">
        <v>34850</v>
      </c>
      <c r="J248">
        <v>208</v>
      </c>
      <c r="K248" t="s">
        <v>375</v>
      </c>
      <c r="L248" t="s">
        <v>56</v>
      </c>
      <c r="M248" s="5">
        <v>0.11879910213243547</v>
      </c>
      <c r="N248">
        <f>Posts_1[[#This Row],[Likes]]+Posts_1[[#This Row],[Shares]]+Posts_1[[#This Row],[Comments]]</f>
        <v>4234</v>
      </c>
    </row>
    <row r="249" spans="1:14" x14ac:dyDescent="0.35">
      <c r="A249" t="s">
        <v>129</v>
      </c>
      <c r="B249" t="s">
        <v>31</v>
      </c>
      <c r="C249" s="1">
        <v>45690</v>
      </c>
      <c r="D249" t="s">
        <v>45</v>
      </c>
      <c r="E249">
        <v>886</v>
      </c>
      <c r="F249">
        <v>126</v>
      </c>
      <c r="G249">
        <v>153</v>
      </c>
      <c r="H249">
        <v>4430</v>
      </c>
      <c r="I249">
        <v>4037</v>
      </c>
      <c r="J249">
        <v>212</v>
      </c>
      <c r="K249" t="s">
        <v>46</v>
      </c>
      <c r="L249" t="s">
        <v>56</v>
      </c>
      <c r="M249" s="5">
        <v>0.26297968397291194</v>
      </c>
      <c r="N249">
        <f>Posts_1[[#This Row],[Likes]]+Posts_1[[#This Row],[Shares]]+Posts_1[[#This Row],[Comments]]</f>
        <v>1165</v>
      </c>
    </row>
    <row r="250" spans="1:14" x14ac:dyDescent="0.35">
      <c r="A250" t="s">
        <v>130</v>
      </c>
      <c r="B250" t="s">
        <v>32</v>
      </c>
      <c r="C250" s="1">
        <v>45491</v>
      </c>
      <c r="D250" t="s">
        <v>50</v>
      </c>
      <c r="E250">
        <v>827</v>
      </c>
      <c r="F250">
        <v>77</v>
      </c>
      <c r="G250">
        <v>402</v>
      </c>
      <c r="H250">
        <v>14886</v>
      </c>
      <c r="I250">
        <v>14129</v>
      </c>
      <c r="J250">
        <v>254</v>
      </c>
      <c r="K250" t="s">
        <v>46</v>
      </c>
      <c r="L250" t="s">
        <v>11</v>
      </c>
      <c r="M250" s="5">
        <v>8.7733440816874911E-2</v>
      </c>
      <c r="N250">
        <f>Posts_1[[#This Row],[Likes]]+Posts_1[[#This Row],[Shares]]+Posts_1[[#This Row],[Comments]]</f>
        <v>1306</v>
      </c>
    </row>
    <row r="251" spans="1:14" x14ac:dyDescent="0.35">
      <c r="A251" t="s">
        <v>327</v>
      </c>
      <c r="B251" t="s">
        <v>31</v>
      </c>
      <c r="C251" s="1">
        <v>45465</v>
      </c>
      <c r="D251" t="s">
        <v>48</v>
      </c>
      <c r="E251">
        <v>3813</v>
      </c>
      <c r="F251">
        <v>935</v>
      </c>
      <c r="G251">
        <v>274</v>
      </c>
      <c r="H251">
        <v>68634</v>
      </c>
      <c r="I251">
        <v>68488</v>
      </c>
      <c r="J251">
        <v>251</v>
      </c>
      <c r="K251" t="s">
        <v>154</v>
      </c>
      <c r="L251" t="s">
        <v>56</v>
      </c>
      <c r="M251" s="5">
        <v>7.3170731707317069E-2</v>
      </c>
      <c r="N251">
        <f>Posts_1[[#This Row],[Likes]]+Posts_1[[#This Row],[Shares]]+Posts_1[[#This Row],[Comments]]</f>
        <v>5022</v>
      </c>
    </row>
    <row r="252" spans="1:14" x14ac:dyDescent="0.35">
      <c r="A252" t="s">
        <v>328</v>
      </c>
      <c r="B252" t="s">
        <v>30</v>
      </c>
      <c r="C252" s="1">
        <v>45743</v>
      </c>
      <c r="D252" t="s">
        <v>52</v>
      </c>
      <c r="E252">
        <v>1377</v>
      </c>
      <c r="F252">
        <v>796</v>
      </c>
      <c r="G252">
        <v>387</v>
      </c>
      <c r="H252">
        <v>22032</v>
      </c>
      <c r="I252">
        <v>21869</v>
      </c>
      <c r="J252">
        <v>189</v>
      </c>
      <c r="K252" t="s">
        <v>154</v>
      </c>
      <c r="L252" t="s">
        <v>56</v>
      </c>
      <c r="M252" s="5">
        <v>0.11619462599854757</v>
      </c>
      <c r="N252">
        <f>Posts_1[[#This Row],[Likes]]+Posts_1[[#This Row],[Shares]]+Posts_1[[#This Row],[Comments]]</f>
        <v>2560</v>
      </c>
    </row>
    <row r="253" spans="1:14" x14ac:dyDescent="0.35">
      <c r="A253" t="s">
        <v>329</v>
      </c>
      <c r="B253" t="s">
        <v>31</v>
      </c>
      <c r="C253" s="1">
        <v>45775</v>
      </c>
      <c r="D253" t="s">
        <v>52</v>
      </c>
      <c r="E253">
        <v>2089</v>
      </c>
      <c r="F253">
        <v>476</v>
      </c>
      <c r="G253">
        <v>69</v>
      </c>
      <c r="H253">
        <v>16712</v>
      </c>
      <c r="I253">
        <v>16309</v>
      </c>
      <c r="J253">
        <v>64</v>
      </c>
      <c r="K253" t="s">
        <v>154</v>
      </c>
      <c r="L253" t="s">
        <v>15</v>
      </c>
      <c r="M253" s="5">
        <v>0.15761129727142173</v>
      </c>
      <c r="N253">
        <f>Posts_1[[#This Row],[Likes]]+Posts_1[[#This Row],[Shares]]+Posts_1[[#This Row],[Comments]]</f>
        <v>2634</v>
      </c>
    </row>
    <row r="254" spans="1:14" x14ac:dyDescent="0.35">
      <c r="A254" t="s">
        <v>131</v>
      </c>
      <c r="B254" t="s">
        <v>32</v>
      </c>
      <c r="C254" s="1">
        <v>45507</v>
      </c>
      <c r="D254" t="s">
        <v>48</v>
      </c>
      <c r="E254">
        <v>3791</v>
      </c>
      <c r="F254">
        <v>593</v>
      </c>
      <c r="G254">
        <v>228</v>
      </c>
      <c r="H254">
        <v>53074</v>
      </c>
      <c r="I254">
        <v>52613</v>
      </c>
      <c r="J254">
        <v>205</v>
      </c>
      <c r="K254" t="s">
        <v>46</v>
      </c>
      <c r="L254" t="s">
        <v>56</v>
      </c>
      <c r="M254" s="5">
        <v>8.6897539284772202E-2</v>
      </c>
      <c r="N254">
        <f>Posts_1[[#This Row],[Likes]]+Posts_1[[#This Row],[Shares]]+Posts_1[[#This Row],[Comments]]</f>
        <v>4612</v>
      </c>
    </row>
    <row r="255" spans="1:14" x14ac:dyDescent="0.35">
      <c r="A255" t="s">
        <v>330</v>
      </c>
      <c r="B255" t="s">
        <v>32</v>
      </c>
      <c r="C255" s="1">
        <v>45671</v>
      </c>
      <c r="D255" t="s">
        <v>50</v>
      </c>
      <c r="E255">
        <v>2692</v>
      </c>
      <c r="F255">
        <v>115</v>
      </c>
      <c r="G255">
        <v>64</v>
      </c>
      <c r="H255">
        <v>21536</v>
      </c>
      <c r="I255">
        <v>21120</v>
      </c>
      <c r="J255">
        <v>224</v>
      </c>
      <c r="K255" t="s">
        <v>154</v>
      </c>
      <c r="L255" t="s">
        <v>11</v>
      </c>
      <c r="M255" s="5">
        <v>0.13331166419019316</v>
      </c>
      <c r="N255">
        <f>Posts_1[[#This Row],[Likes]]+Posts_1[[#This Row],[Shares]]+Posts_1[[#This Row],[Comments]]</f>
        <v>2871</v>
      </c>
    </row>
    <row r="256" spans="1:14" x14ac:dyDescent="0.35">
      <c r="A256" t="s">
        <v>331</v>
      </c>
      <c r="B256" t="s">
        <v>31</v>
      </c>
      <c r="C256" s="1">
        <v>45750</v>
      </c>
      <c r="D256" t="s">
        <v>45</v>
      </c>
      <c r="E256">
        <v>3767</v>
      </c>
      <c r="F256">
        <v>514</v>
      </c>
      <c r="G256">
        <v>238</v>
      </c>
      <c r="H256">
        <v>37670</v>
      </c>
      <c r="I256">
        <v>36807</v>
      </c>
      <c r="J256">
        <v>226</v>
      </c>
      <c r="K256" t="s">
        <v>154</v>
      </c>
      <c r="L256" t="s">
        <v>19</v>
      </c>
      <c r="M256" s="5">
        <v>0.11996283514733209</v>
      </c>
      <c r="N256">
        <f>Posts_1[[#This Row],[Likes]]+Posts_1[[#This Row],[Shares]]+Posts_1[[#This Row],[Comments]]</f>
        <v>4519</v>
      </c>
    </row>
    <row r="257" spans="1:14" x14ac:dyDescent="0.35">
      <c r="A257" t="s">
        <v>132</v>
      </c>
      <c r="B257" t="s">
        <v>33</v>
      </c>
      <c r="C257" s="1">
        <v>45553</v>
      </c>
      <c r="D257" t="s">
        <v>52</v>
      </c>
      <c r="E257">
        <v>2143</v>
      </c>
      <c r="F257">
        <v>12</v>
      </c>
      <c r="G257">
        <v>204</v>
      </c>
      <c r="H257">
        <v>40717</v>
      </c>
      <c r="I257">
        <v>40125</v>
      </c>
      <c r="J257">
        <v>248</v>
      </c>
      <c r="K257" t="s">
        <v>46</v>
      </c>
      <c r="L257" t="s">
        <v>11</v>
      </c>
      <c r="M257" s="5">
        <v>5.7936488444630008E-2</v>
      </c>
      <c r="N257">
        <f>Posts_1[[#This Row],[Likes]]+Posts_1[[#This Row],[Shares]]+Posts_1[[#This Row],[Comments]]</f>
        <v>2359</v>
      </c>
    </row>
    <row r="258" spans="1:14" x14ac:dyDescent="0.35">
      <c r="A258" t="s">
        <v>133</v>
      </c>
      <c r="B258" t="s">
        <v>31</v>
      </c>
      <c r="C258" s="1">
        <v>45753</v>
      </c>
      <c r="D258" t="s">
        <v>50</v>
      </c>
      <c r="E258">
        <v>3090</v>
      </c>
      <c r="F258">
        <v>697</v>
      </c>
      <c r="G258">
        <v>164</v>
      </c>
      <c r="H258">
        <v>49440</v>
      </c>
      <c r="I258">
        <v>48524</v>
      </c>
      <c r="J258">
        <v>25</v>
      </c>
      <c r="K258" t="s">
        <v>376</v>
      </c>
      <c r="L258" t="s">
        <v>11</v>
      </c>
      <c r="M258" s="5">
        <v>7.9915048543689318E-2</v>
      </c>
      <c r="N258">
        <f>Posts_1[[#This Row],[Likes]]+Posts_1[[#This Row],[Shares]]+Posts_1[[#This Row],[Comments]]</f>
        <v>3951</v>
      </c>
    </row>
    <row r="259" spans="1:14" x14ac:dyDescent="0.35">
      <c r="A259" t="s">
        <v>134</v>
      </c>
      <c r="B259" t="s">
        <v>30</v>
      </c>
      <c r="C259" s="1">
        <v>45509</v>
      </c>
      <c r="D259" t="s">
        <v>45</v>
      </c>
      <c r="E259">
        <v>3601</v>
      </c>
      <c r="F259">
        <v>695</v>
      </c>
      <c r="G259">
        <v>75</v>
      </c>
      <c r="H259">
        <v>21606</v>
      </c>
      <c r="I259">
        <v>21454</v>
      </c>
      <c r="J259">
        <v>172</v>
      </c>
      <c r="K259" t="s">
        <v>46</v>
      </c>
      <c r="L259" t="s">
        <v>11</v>
      </c>
      <c r="M259" s="5">
        <v>0.2023049153013052</v>
      </c>
      <c r="N259">
        <f>Posts_1[[#This Row],[Likes]]+Posts_1[[#This Row],[Shares]]+Posts_1[[#This Row],[Comments]]</f>
        <v>4371</v>
      </c>
    </row>
    <row r="260" spans="1:14" x14ac:dyDescent="0.35">
      <c r="A260" t="s">
        <v>332</v>
      </c>
      <c r="B260" t="s">
        <v>31</v>
      </c>
      <c r="C260" s="1">
        <v>45698</v>
      </c>
      <c r="D260" t="s">
        <v>54</v>
      </c>
      <c r="E260">
        <v>562</v>
      </c>
      <c r="F260">
        <v>158</v>
      </c>
      <c r="G260">
        <v>149</v>
      </c>
      <c r="H260">
        <v>3372</v>
      </c>
      <c r="I260">
        <v>2940</v>
      </c>
      <c r="J260">
        <v>93</v>
      </c>
      <c r="K260" t="s">
        <v>157</v>
      </c>
      <c r="L260" t="s">
        <v>7</v>
      </c>
      <c r="M260" s="5">
        <v>0.25771055753262156</v>
      </c>
      <c r="N260">
        <f>Posts_1[[#This Row],[Likes]]+Posts_1[[#This Row],[Shares]]+Posts_1[[#This Row],[Comments]]</f>
        <v>869</v>
      </c>
    </row>
    <row r="261" spans="1:14" x14ac:dyDescent="0.35">
      <c r="A261" t="s">
        <v>135</v>
      </c>
      <c r="B261" t="s">
        <v>30</v>
      </c>
      <c r="C261" s="1">
        <v>45700</v>
      </c>
      <c r="D261" t="s">
        <v>45</v>
      </c>
      <c r="E261">
        <v>4332</v>
      </c>
      <c r="F261">
        <v>771</v>
      </c>
      <c r="G261">
        <v>219</v>
      </c>
      <c r="H261">
        <v>60648</v>
      </c>
      <c r="I261">
        <v>60397</v>
      </c>
      <c r="J261">
        <v>10</v>
      </c>
      <c r="K261" t="s">
        <v>377</v>
      </c>
      <c r="L261" t="s">
        <v>15</v>
      </c>
      <c r="M261" s="5">
        <v>8.7752275425405618E-2</v>
      </c>
      <c r="N261">
        <f>Posts_1[[#This Row],[Likes]]+Posts_1[[#This Row],[Shares]]+Posts_1[[#This Row],[Comments]]</f>
        <v>5322</v>
      </c>
    </row>
    <row r="262" spans="1:14" x14ac:dyDescent="0.35">
      <c r="A262" t="s">
        <v>136</v>
      </c>
      <c r="B262" t="s">
        <v>30</v>
      </c>
      <c r="C262" s="1">
        <v>45592</v>
      </c>
      <c r="D262" t="s">
        <v>50</v>
      </c>
      <c r="E262">
        <v>4853</v>
      </c>
      <c r="F262">
        <v>837</v>
      </c>
      <c r="G262">
        <v>340</v>
      </c>
      <c r="H262">
        <v>72795</v>
      </c>
      <c r="I262">
        <v>72237</v>
      </c>
      <c r="J262">
        <v>170</v>
      </c>
      <c r="K262" t="s">
        <v>46</v>
      </c>
      <c r="L262" t="s">
        <v>7</v>
      </c>
      <c r="M262" s="5">
        <v>8.2835359571399134E-2</v>
      </c>
      <c r="N262">
        <f>Posts_1[[#This Row],[Likes]]+Posts_1[[#This Row],[Shares]]+Posts_1[[#This Row],[Comments]]</f>
        <v>6030</v>
      </c>
    </row>
    <row r="263" spans="1:14" x14ac:dyDescent="0.35">
      <c r="A263" t="s">
        <v>333</v>
      </c>
      <c r="B263" t="s">
        <v>33</v>
      </c>
      <c r="C263" s="1">
        <v>45675</v>
      </c>
      <c r="D263" t="s">
        <v>50</v>
      </c>
      <c r="E263">
        <v>1206</v>
      </c>
      <c r="F263">
        <v>238</v>
      </c>
      <c r="G263">
        <v>36</v>
      </c>
      <c r="H263">
        <v>9648</v>
      </c>
      <c r="I263">
        <v>9417</v>
      </c>
      <c r="J263">
        <v>237</v>
      </c>
      <c r="K263" t="s">
        <v>157</v>
      </c>
      <c r="L263" t="s">
        <v>56</v>
      </c>
      <c r="M263" s="5">
        <v>0.15339966832504145</v>
      </c>
      <c r="N263">
        <f>Posts_1[[#This Row],[Likes]]+Posts_1[[#This Row],[Shares]]+Posts_1[[#This Row],[Comments]]</f>
        <v>1480</v>
      </c>
    </row>
    <row r="264" spans="1:14" x14ac:dyDescent="0.35">
      <c r="A264" t="s">
        <v>334</v>
      </c>
      <c r="B264" t="s">
        <v>30</v>
      </c>
      <c r="C264" s="1">
        <v>45524</v>
      </c>
      <c r="D264" t="s">
        <v>48</v>
      </c>
      <c r="E264">
        <v>2603</v>
      </c>
      <c r="F264">
        <v>690</v>
      </c>
      <c r="G264">
        <v>205</v>
      </c>
      <c r="H264">
        <v>13015</v>
      </c>
      <c r="I264">
        <v>12130</v>
      </c>
      <c r="J264">
        <v>20</v>
      </c>
      <c r="K264" t="s">
        <v>154</v>
      </c>
      <c r="L264" t="s">
        <v>11</v>
      </c>
      <c r="M264" s="5">
        <v>0.26876680752977333</v>
      </c>
      <c r="N264">
        <f>Posts_1[[#This Row],[Likes]]+Posts_1[[#This Row],[Shares]]+Posts_1[[#This Row],[Comments]]</f>
        <v>3498</v>
      </c>
    </row>
    <row r="265" spans="1:14" x14ac:dyDescent="0.35">
      <c r="A265" t="s">
        <v>335</v>
      </c>
      <c r="B265" t="s">
        <v>32</v>
      </c>
      <c r="C265" s="1">
        <v>45687</v>
      </c>
      <c r="D265" t="s">
        <v>50</v>
      </c>
      <c r="E265">
        <v>59</v>
      </c>
      <c r="F265">
        <v>163</v>
      </c>
      <c r="G265">
        <v>93</v>
      </c>
      <c r="H265">
        <v>590</v>
      </c>
      <c r="I265">
        <v>475</v>
      </c>
      <c r="J265">
        <v>293</v>
      </c>
      <c r="K265" t="s">
        <v>157</v>
      </c>
      <c r="L265" t="s">
        <v>11</v>
      </c>
      <c r="M265" s="5">
        <v>0.53389830508474578</v>
      </c>
      <c r="N265">
        <f>Posts_1[[#This Row],[Likes]]+Posts_1[[#This Row],[Shares]]+Posts_1[[#This Row],[Comments]]</f>
        <v>315</v>
      </c>
    </row>
    <row r="266" spans="1:14" x14ac:dyDescent="0.35">
      <c r="A266" t="s">
        <v>137</v>
      </c>
      <c r="B266" t="s">
        <v>32</v>
      </c>
      <c r="C266" s="1">
        <v>45708</v>
      </c>
      <c r="D266" t="s">
        <v>52</v>
      </c>
      <c r="E266">
        <v>1877</v>
      </c>
      <c r="F266">
        <v>745</v>
      </c>
      <c r="G266">
        <v>225</v>
      </c>
      <c r="H266">
        <v>11262</v>
      </c>
      <c r="I266">
        <v>10967</v>
      </c>
      <c r="J266">
        <v>41</v>
      </c>
      <c r="K266" t="s">
        <v>46</v>
      </c>
      <c r="L266" t="s">
        <v>19</v>
      </c>
      <c r="M266" s="5">
        <v>0.25279701651571657</v>
      </c>
      <c r="N266">
        <f>Posts_1[[#This Row],[Likes]]+Posts_1[[#This Row],[Shares]]+Posts_1[[#This Row],[Comments]]</f>
        <v>2847</v>
      </c>
    </row>
    <row r="267" spans="1:14" x14ac:dyDescent="0.35">
      <c r="A267" t="s">
        <v>336</v>
      </c>
      <c r="B267" t="s">
        <v>31</v>
      </c>
      <c r="C267" s="1">
        <v>45621</v>
      </c>
      <c r="D267" t="s">
        <v>45</v>
      </c>
      <c r="E267">
        <v>4182</v>
      </c>
      <c r="F267">
        <v>640</v>
      </c>
      <c r="G267">
        <v>240</v>
      </c>
      <c r="H267">
        <v>50184</v>
      </c>
      <c r="I267">
        <v>49351</v>
      </c>
      <c r="J267">
        <v>10</v>
      </c>
      <c r="K267" t="s">
        <v>157</v>
      </c>
      <c r="L267" t="s">
        <v>15</v>
      </c>
      <c r="M267" s="5">
        <v>0.10086880280567512</v>
      </c>
      <c r="N267">
        <f>Posts_1[[#This Row],[Likes]]+Posts_1[[#This Row],[Shares]]+Posts_1[[#This Row],[Comments]]</f>
        <v>5062</v>
      </c>
    </row>
    <row r="268" spans="1:14" x14ac:dyDescent="0.35">
      <c r="A268" t="s">
        <v>337</v>
      </c>
      <c r="B268" t="s">
        <v>32</v>
      </c>
      <c r="C268" s="1">
        <v>45569</v>
      </c>
      <c r="D268" t="s">
        <v>48</v>
      </c>
      <c r="E268">
        <v>4187</v>
      </c>
      <c r="F268">
        <v>66</v>
      </c>
      <c r="G268">
        <v>31</v>
      </c>
      <c r="H268">
        <v>66992</v>
      </c>
      <c r="I268">
        <v>66614</v>
      </c>
      <c r="J268">
        <v>62</v>
      </c>
      <c r="K268" t="s">
        <v>154</v>
      </c>
      <c r="L268" t="s">
        <v>56</v>
      </c>
      <c r="M268" s="5">
        <v>6.3947934081681396E-2</v>
      </c>
      <c r="N268">
        <f>Posts_1[[#This Row],[Likes]]+Posts_1[[#This Row],[Shares]]+Posts_1[[#This Row],[Comments]]</f>
        <v>4284</v>
      </c>
    </row>
    <row r="269" spans="1:14" x14ac:dyDescent="0.35">
      <c r="A269" t="s">
        <v>138</v>
      </c>
      <c r="B269" t="s">
        <v>30</v>
      </c>
      <c r="C269" s="1">
        <v>45760</v>
      </c>
      <c r="D269" t="s">
        <v>48</v>
      </c>
      <c r="E269">
        <v>4579</v>
      </c>
      <c r="F269">
        <v>125</v>
      </c>
      <c r="G269">
        <v>300</v>
      </c>
      <c r="H269">
        <v>59527</v>
      </c>
      <c r="I269">
        <v>59400</v>
      </c>
      <c r="J269">
        <v>269</v>
      </c>
      <c r="K269" t="s">
        <v>46</v>
      </c>
      <c r="L269" t="s">
        <v>7</v>
      </c>
      <c r="M269" s="5">
        <v>8.4062694239588759E-2</v>
      </c>
      <c r="N269">
        <f>Posts_1[[#This Row],[Likes]]+Posts_1[[#This Row],[Shares]]+Posts_1[[#This Row],[Comments]]</f>
        <v>5004</v>
      </c>
    </row>
    <row r="270" spans="1:14" x14ac:dyDescent="0.35">
      <c r="A270" t="s">
        <v>338</v>
      </c>
      <c r="B270" t="s">
        <v>30</v>
      </c>
      <c r="C270" s="1">
        <v>45601</v>
      </c>
      <c r="D270" t="s">
        <v>58</v>
      </c>
      <c r="E270">
        <v>4561</v>
      </c>
      <c r="F270">
        <v>51</v>
      </c>
      <c r="G270">
        <v>441</v>
      </c>
      <c r="H270">
        <v>22805</v>
      </c>
      <c r="I270">
        <v>21890</v>
      </c>
      <c r="J270">
        <v>45</v>
      </c>
      <c r="K270" t="s">
        <v>157</v>
      </c>
      <c r="L270" t="s">
        <v>11</v>
      </c>
      <c r="M270" s="5">
        <v>0.22157421618066214</v>
      </c>
      <c r="N270">
        <f>Posts_1[[#This Row],[Likes]]+Posts_1[[#This Row],[Shares]]+Posts_1[[#This Row],[Comments]]</f>
        <v>5053</v>
      </c>
    </row>
    <row r="271" spans="1:14" x14ac:dyDescent="0.35">
      <c r="A271" t="s">
        <v>339</v>
      </c>
      <c r="B271" t="s">
        <v>33</v>
      </c>
      <c r="C271" s="1">
        <v>45672</v>
      </c>
      <c r="D271" t="s">
        <v>48</v>
      </c>
      <c r="E271">
        <v>3774</v>
      </c>
      <c r="F271">
        <v>239</v>
      </c>
      <c r="G271">
        <v>39</v>
      </c>
      <c r="H271">
        <v>60384</v>
      </c>
      <c r="I271">
        <v>59490</v>
      </c>
      <c r="J271">
        <v>241</v>
      </c>
      <c r="K271" t="s">
        <v>157</v>
      </c>
      <c r="L271" t="s">
        <v>15</v>
      </c>
      <c r="M271" s="5">
        <v>6.7103868574456813E-2</v>
      </c>
      <c r="N271">
        <f>Posts_1[[#This Row],[Likes]]+Posts_1[[#This Row],[Shares]]+Posts_1[[#This Row],[Comments]]</f>
        <v>4052</v>
      </c>
    </row>
    <row r="272" spans="1:14" x14ac:dyDescent="0.35">
      <c r="A272" t="s">
        <v>139</v>
      </c>
      <c r="B272" t="s">
        <v>30</v>
      </c>
      <c r="C272" s="1">
        <v>45582</v>
      </c>
      <c r="D272" t="s">
        <v>58</v>
      </c>
      <c r="E272">
        <v>3575</v>
      </c>
      <c r="F272">
        <v>749</v>
      </c>
      <c r="G272">
        <v>111</v>
      </c>
      <c r="H272">
        <v>21450</v>
      </c>
      <c r="I272">
        <v>20785</v>
      </c>
      <c r="J272">
        <v>195</v>
      </c>
      <c r="K272" t="s">
        <v>46</v>
      </c>
      <c r="L272" t="s">
        <v>11</v>
      </c>
      <c r="M272" s="5">
        <v>0.20675990675990677</v>
      </c>
      <c r="N272">
        <f>Posts_1[[#This Row],[Likes]]+Posts_1[[#This Row],[Shares]]+Posts_1[[#This Row],[Comments]]</f>
        <v>4435</v>
      </c>
    </row>
    <row r="273" spans="1:14" x14ac:dyDescent="0.35">
      <c r="A273" t="s">
        <v>340</v>
      </c>
      <c r="B273" t="s">
        <v>30</v>
      </c>
      <c r="C273" s="1">
        <v>45743</v>
      </c>
      <c r="D273" t="s">
        <v>54</v>
      </c>
      <c r="E273">
        <v>4941</v>
      </c>
      <c r="F273">
        <v>414</v>
      </c>
      <c r="G273">
        <v>266</v>
      </c>
      <c r="H273">
        <v>39528</v>
      </c>
      <c r="I273">
        <v>39154</v>
      </c>
      <c r="J273">
        <v>217</v>
      </c>
      <c r="K273" t="s">
        <v>157</v>
      </c>
      <c r="L273" t="s">
        <v>15</v>
      </c>
      <c r="M273" s="5">
        <v>0.14220299534507186</v>
      </c>
      <c r="N273">
        <f>Posts_1[[#This Row],[Likes]]+Posts_1[[#This Row],[Shares]]+Posts_1[[#This Row],[Comments]]</f>
        <v>5621</v>
      </c>
    </row>
    <row r="274" spans="1:14" x14ac:dyDescent="0.35">
      <c r="A274" t="s">
        <v>140</v>
      </c>
      <c r="B274" t="s">
        <v>33</v>
      </c>
      <c r="C274" s="1">
        <v>45577</v>
      </c>
      <c r="D274" t="s">
        <v>45</v>
      </c>
      <c r="E274">
        <v>3641</v>
      </c>
      <c r="F274">
        <v>226</v>
      </c>
      <c r="G274">
        <v>46</v>
      </c>
      <c r="H274">
        <v>40051</v>
      </c>
      <c r="I274">
        <v>39319</v>
      </c>
      <c r="J274">
        <v>296</v>
      </c>
      <c r="K274" t="s">
        <v>46</v>
      </c>
      <c r="L274" t="s">
        <v>19</v>
      </c>
      <c r="M274" s="5">
        <v>9.7700431949264685E-2</v>
      </c>
      <c r="N274">
        <f>Posts_1[[#This Row],[Likes]]+Posts_1[[#This Row],[Shares]]+Posts_1[[#This Row],[Comments]]</f>
        <v>3913</v>
      </c>
    </row>
    <row r="275" spans="1:14" x14ac:dyDescent="0.35">
      <c r="A275" t="s">
        <v>341</v>
      </c>
      <c r="B275" t="s">
        <v>32</v>
      </c>
      <c r="C275" s="1">
        <v>45658</v>
      </c>
      <c r="D275" t="s">
        <v>52</v>
      </c>
      <c r="E275">
        <v>3535</v>
      </c>
      <c r="F275">
        <v>494</v>
      </c>
      <c r="G275">
        <v>152</v>
      </c>
      <c r="H275">
        <v>53025</v>
      </c>
      <c r="I275">
        <v>52791</v>
      </c>
      <c r="J275">
        <v>44</v>
      </c>
      <c r="K275" t="s">
        <v>157</v>
      </c>
      <c r="L275" t="s">
        <v>19</v>
      </c>
      <c r="M275" s="5">
        <v>7.8849599245638849E-2</v>
      </c>
      <c r="N275">
        <f>Posts_1[[#This Row],[Likes]]+Posts_1[[#This Row],[Shares]]+Posts_1[[#This Row],[Comments]]</f>
        <v>4181</v>
      </c>
    </row>
    <row r="276" spans="1:14" x14ac:dyDescent="0.35">
      <c r="A276" t="s">
        <v>141</v>
      </c>
      <c r="B276" t="s">
        <v>31</v>
      </c>
      <c r="C276" s="1">
        <v>45509</v>
      </c>
      <c r="D276" t="s">
        <v>48</v>
      </c>
      <c r="E276">
        <v>1741</v>
      </c>
      <c r="F276">
        <v>831</v>
      </c>
      <c r="G276">
        <v>345</v>
      </c>
      <c r="H276">
        <v>17410</v>
      </c>
      <c r="I276">
        <v>16844</v>
      </c>
      <c r="J276">
        <v>58</v>
      </c>
      <c r="K276" t="s">
        <v>46</v>
      </c>
      <c r="L276" t="s">
        <v>15</v>
      </c>
      <c r="M276" s="5">
        <v>0.16754738655944859</v>
      </c>
      <c r="N276">
        <f>Posts_1[[#This Row],[Likes]]+Posts_1[[#This Row],[Shares]]+Posts_1[[#This Row],[Comments]]</f>
        <v>2917</v>
      </c>
    </row>
    <row r="277" spans="1:14" x14ac:dyDescent="0.35">
      <c r="A277" t="s">
        <v>342</v>
      </c>
      <c r="B277" t="s">
        <v>32</v>
      </c>
      <c r="C277" s="1">
        <v>45450</v>
      </c>
      <c r="D277" t="s">
        <v>52</v>
      </c>
      <c r="E277">
        <v>1556</v>
      </c>
      <c r="F277">
        <v>195</v>
      </c>
      <c r="G277">
        <v>131</v>
      </c>
      <c r="H277">
        <v>9336</v>
      </c>
      <c r="I277">
        <v>8875</v>
      </c>
      <c r="J277">
        <v>137</v>
      </c>
      <c r="K277" t="s">
        <v>157</v>
      </c>
      <c r="L277" t="s">
        <v>11</v>
      </c>
      <c r="M277" s="5">
        <v>0.2015852613538989</v>
      </c>
      <c r="N277">
        <f>Posts_1[[#This Row],[Likes]]+Posts_1[[#This Row],[Shares]]+Posts_1[[#This Row],[Comments]]</f>
        <v>1882</v>
      </c>
    </row>
    <row r="278" spans="1:14" x14ac:dyDescent="0.35">
      <c r="A278" t="s">
        <v>343</v>
      </c>
      <c r="B278" t="s">
        <v>31</v>
      </c>
      <c r="C278" s="1">
        <v>45753</v>
      </c>
      <c r="D278" t="s">
        <v>50</v>
      </c>
      <c r="E278">
        <v>4236</v>
      </c>
      <c r="F278">
        <v>711</v>
      </c>
      <c r="G278">
        <v>298</v>
      </c>
      <c r="H278">
        <v>21180</v>
      </c>
      <c r="I278">
        <v>20516</v>
      </c>
      <c r="J278">
        <v>238</v>
      </c>
      <c r="K278" t="s">
        <v>154</v>
      </c>
      <c r="L278" t="s">
        <v>7</v>
      </c>
      <c r="M278" s="5">
        <v>0.24763928234183191</v>
      </c>
      <c r="N278">
        <f>Posts_1[[#This Row],[Likes]]+Posts_1[[#This Row],[Shares]]+Posts_1[[#This Row],[Comments]]</f>
        <v>5245</v>
      </c>
    </row>
    <row r="279" spans="1:14" x14ac:dyDescent="0.35">
      <c r="A279" t="s">
        <v>142</v>
      </c>
      <c r="B279" t="s">
        <v>32</v>
      </c>
      <c r="C279" s="1">
        <v>45622</v>
      </c>
      <c r="D279" t="s">
        <v>54</v>
      </c>
      <c r="E279">
        <v>4516</v>
      </c>
      <c r="F279">
        <v>836</v>
      </c>
      <c r="G279">
        <v>169</v>
      </c>
      <c r="H279">
        <v>49676</v>
      </c>
      <c r="I279">
        <v>49257</v>
      </c>
      <c r="J279">
        <v>282</v>
      </c>
      <c r="K279" t="s">
        <v>46</v>
      </c>
      <c r="L279" t="s">
        <v>19</v>
      </c>
      <c r="M279" s="5">
        <v>0.11114018842096787</v>
      </c>
      <c r="N279">
        <f>Posts_1[[#This Row],[Likes]]+Posts_1[[#This Row],[Shares]]+Posts_1[[#This Row],[Comments]]</f>
        <v>5521</v>
      </c>
    </row>
    <row r="280" spans="1:14" x14ac:dyDescent="0.35">
      <c r="A280" t="s">
        <v>344</v>
      </c>
      <c r="B280" t="s">
        <v>33</v>
      </c>
      <c r="C280" s="1">
        <v>45537</v>
      </c>
      <c r="D280" t="s">
        <v>50</v>
      </c>
      <c r="E280">
        <v>4905</v>
      </c>
      <c r="F280">
        <v>845</v>
      </c>
      <c r="G280">
        <v>129</v>
      </c>
      <c r="H280">
        <v>98100</v>
      </c>
      <c r="I280">
        <v>97772</v>
      </c>
      <c r="J280">
        <v>279</v>
      </c>
      <c r="K280" t="s">
        <v>157</v>
      </c>
      <c r="L280" t="s">
        <v>11</v>
      </c>
      <c r="M280" s="5">
        <v>5.9928644240570844E-2</v>
      </c>
      <c r="N280">
        <f>Posts_1[[#This Row],[Likes]]+Posts_1[[#This Row],[Shares]]+Posts_1[[#This Row],[Comments]]</f>
        <v>5879</v>
      </c>
    </row>
    <row r="281" spans="1:14" x14ac:dyDescent="0.35">
      <c r="A281" t="s">
        <v>143</v>
      </c>
      <c r="B281" t="s">
        <v>33</v>
      </c>
      <c r="C281" s="1">
        <v>45586</v>
      </c>
      <c r="D281" t="s">
        <v>58</v>
      </c>
      <c r="E281">
        <v>4275</v>
      </c>
      <c r="F281">
        <v>680</v>
      </c>
      <c r="G281">
        <v>385</v>
      </c>
      <c r="H281">
        <v>64125</v>
      </c>
      <c r="I281">
        <v>63650</v>
      </c>
      <c r="J281">
        <v>104</v>
      </c>
      <c r="K281" t="s">
        <v>368</v>
      </c>
      <c r="L281" t="s">
        <v>19</v>
      </c>
      <c r="M281" s="5">
        <v>8.3274853801169585E-2</v>
      </c>
      <c r="N281">
        <f>Posts_1[[#This Row],[Likes]]+Posts_1[[#This Row],[Shares]]+Posts_1[[#This Row],[Comments]]</f>
        <v>5340</v>
      </c>
    </row>
    <row r="282" spans="1:14" x14ac:dyDescent="0.35">
      <c r="A282" t="s">
        <v>144</v>
      </c>
      <c r="B282" t="s">
        <v>33</v>
      </c>
      <c r="C282" s="1">
        <v>45738</v>
      </c>
      <c r="D282" t="s">
        <v>50</v>
      </c>
      <c r="E282">
        <v>3166</v>
      </c>
      <c r="F282">
        <v>90</v>
      </c>
      <c r="G282">
        <v>341</v>
      </c>
      <c r="H282">
        <v>56988</v>
      </c>
      <c r="I282">
        <v>56125</v>
      </c>
      <c r="J282">
        <v>135</v>
      </c>
      <c r="K282" t="s">
        <v>46</v>
      </c>
      <c r="L282" t="s">
        <v>11</v>
      </c>
      <c r="M282" s="5">
        <v>6.3118551273952411E-2</v>
      </c>
      <c r="N282">
        <f>Posts_1[[#This Row],[Likes]]+Posts_1[[#This Row],[Shares]]+Posts_1[[#This Row],[Comments]]</f>
        <v>3597</v>
      </c>
    </row>
    <row r="283" spans="1:14" x14ac:dyDescent="0.35">
      <c r="A283" t="s">
        <v>345</v>
      </c>
      <c r="B283" t="s">
        <v>30</v>
      </c>
      <c r="C283" s="1">
        <v>45568</v>
      </c>
      <c r="D283" t="s">
        <v>58</v>
      </c>
      <c r="E283">
        <v>1488</v>
      </c>
      <c r="F283">
        <v>417</v>
      </c>
      <c r="G283">
        <v>168</v>
      </c>
      <c r="H283">
        <v>19344</v>
      </c>
      <c r="I283">
        <v>18395</v>
      </c>
      <c r="J283">
        <v>30</v>
      </c>
      <c r="K283" t="s">
        <v>154</v>
      </c>
      <c r="L283" t="s">
        <v>15</v>
      </c>
      <c r="M283" s="5">
        <v>0.1071650124069479</v>
      </c>
      <c r="N283">
        <f>Posts_1[[#This Row],[Likes]]+Posts_1[[#This Row],[Shares]]+Posts_1[[#This Row],[Comments]]</f>
        <v>2073</v>
      </c>
    </row>
    <row r="284" spans="1:14" x14ac:dyDescent="0.35">
      <c r="A284" t="s">
        <v>346</v>
      </c>
      <c r="B284" t="s">
        <v>32</v>
      </c>
      <c r="C284" s="1">
        <v>45786</v>
      </c>
      <c r="D284" t="s">
        <v>48</v>
      </c>
      <c r="E284">
        <v>3367</v>
      </c>
      <c r="F284">
        <v>302</v>
      </c>
      <c r="G284">
        <v>57</v>
      </c>
      <c r="H284">
        <v>63973</v>
      </c>
      <c r="I284">
        <v>63789</v>
      </c>
      <c r="J284">
        <v>157</v>
      </c>
      <c r="K284" t="s">
        <v>154</v>
      </c>
      <c r="L284" t="s">
        <v>11</v>
      </c>
      <c r="M284" s="5">
        <v>5.8243321401216137E-2</v>
      </c>
      <c r="N284">
        <f>Posts_1[[#This Row],[Likes]]+Posts_1[[#This Row],[Shares]]+Posts_1[[#This Row],[Comments]]</f>
        <v>3726</v>
      </c>
    </row>
    <row r="285" spans="1:14" x14ac:dyDescent="0.35">
      <c r="A285" t="s">
        <v>347</v>
      </c>
      <c r="B285" t="s">
        <v>32</v>
      </c>
      <c r="C285" s="1">
        <v>45552</v>
      </c>
      <c r="D285" t="s">
        <v>54</v>
      </c>
      <c r="E285">
        <v>571</v>
      </c>
      <c r="F285">
        <v>190</v>
      </c>
      <c r="G285">
        <v>352</v>
      </c>
      <c r="H285">
        <v>9707</v>
      </c>
      <c r="I285">
        <v>9418</v>
      </c>
      <c r="J285">
        <v>231</v>
      </c>
      <c r="K285" t="s">
        <v>157</v>
      </c>
      <c r="L285" t="s">
        <v>19</v>
      </c>
      <c r="M285" s="5">
        <v>0.11465952405480581</v>
      </c>
      <c r="N285">
        <f>Posts_1[[#This Row],[Likes]]+Posts_1[[#This Row],[Shares]]+Posts_1[[#This Row],[Comments]]</f>
        <v>1113</v>
      </c>
    </row>
    <row r="286" spans="1:14" x14ac:dyDescent="0.35">
      <c r="A286" t="s">
        <v>145</v>
      </c>
      <c r="B286" t="s">
        <v>33</v>
      </c>
      <c r="C286" s="1">
        <v>45491</v>
      </c>
      <c r="D286" t="s">
        <v>54</v>
      </c>
      <c r="E286">
        <v>4021</v>
      </c>
      <c r="F286">
        <v>794</v>
      </c>
      <c r="G286">
        <v>77</v>
      </c>
      <c r="H286">
        <v>36189</v>
      </c>
      <c r="I286">
        <v>35505</v>
      </c>
      <c r="J286">
        <v>174</v>
      </c>
      <c r="K286" t="s">
        <v>46</v>
      </c>
      <c r="L286" t="s">
        <v>56</v>
      </c>
      <c r="M286" s="5">
        <v>0.13517919809886983</v>
      </c>
      <c r="N286">
        <f>Posts_1[[#This Row],[Likes]]+Posts_1[[#This Row],[Shares]]+Posts_1[[#This Row],[Comments]]</f>
        <v>4892</v>
      </c>
    </row>
    <row r="287" spans="1:14" x14ac:dyDescent="0.35">
      <c r="A287" t="s">
        <v>348</v>
      </c>
      <c r="B287" t="s">
        <v>33</v>
      </c>
      <c r="C287" s="1">
        <v>45560</v>
      </c>
      <c r="D287" t="s">
        <v>58</v>
      </c>
      <c r="E287">
        <v>3389</v>
      </c>
      <c r="F287">
        <v>344</v>
      </c>
      <c r="G287">
        <v>229</v>
      </c>
      <c r="H287">
        <v>20334</v>
      </c>
      <c r="I287">
        <v>19443</v>
      </c>
      <c r="J287">
        <v>228</v>
      </c>
      <c r="K287" t="s">
        <v>154</v>
      </c>
      <c r="L287" t="s">
        <v>15</v>
      </c>
      <c r="M287" s="5">
        <v>0.19484607062063539</v>
      </c>
      <c r="N287">
        <f>Posts_1[[#This Row],[Likes]]+Posts_1[[#This Row],[Shares]]+Posts_1[[#This Row],[Comments]]</f>
        <v>3962</v>
      </c>
    </row>
    <row r="288" spans="1:14" x14ac:dyDescent="0.35">
      <c r="A288" t="s">
        <v>146</v>
      </c>
      <c r="B288" t="s">
        <v>30</v>
      </c>
      <c r="C288" s="1">
        <v>45519</v>
      </c>
      <c r="D288" t="s">
        <v>48</v>
      </c>
      <c r="E288">
        <v>1164</v>
      </c>
      <c r="F288">
        <v>616</v>
      </c>
      <c r="G288">
        <v>324</v>
      </c>
      <c r="H288">
        <v>6984</v>
      </c>
      <c r="I288">
        <v>6636</v>
      </c>
      <c r="J288">
        <v>82</v>
      </c>
      <c r="K288" t="s">
        <v>46</v>
      </c>
      <c r="L288" t="s">
        <v>7</v>
      </c>
      <c r="M288" s="5">
        <v>0.30126002290950743</v>
      </c>
      <c r="N288">
        <f>Posts_1[[#This Row],[Likes]]+Posts_1[[#This Row],[Shares]]+Posts_1[[#This Row],[Comments]]</f>
        <v>2104</v>
      </c>
    </row>
    <row r="289" spans="1:14" x14ac:dyDescent="0.35">
      <c r="A289" t="s">
        <v>349</v>
      </c>
      <c r="B289" t="s">
        <v>33</v>
      </c>
      <c r="C289" s="1">
        <v>45764</v>
      </c>
      <c r="D289" t="s">
        <v>52</v>
      </c>
      <c r="E289">
        <v>4780</v>
      </c>
      <c r="F289">
        <v>691</v>
      </c>
      <c r="G289">
        <v>380</v>
      </c>
      <c r="H289">
        <v>86040</v>
      </c>
      <c r="I289">
        <v>85743</v>
      </c>
      <c r="J289">
        <v>262</v>
      </c>
      <c r="K289" t="s">
        <v>154</v>
      </c>
      <c r="L289" t="s">
        <v>15</v>
      </c>
      <c r="M289" s="5">
        <v>6.800325430032543E-2</v>
      </c>
      <c r="N289">
        <f>Posts_1[[#This Row],[Likes]]+Posts_1[[#This Row],[Shares]]+Posts_1[[#This Row],[Comments]]</f>
        <v>5851</v>
      </c>
    </row>
    <row r="290" spans="1:14" x14ac:dyDescent="0.35">
      <c r="A290" t="s">
        <v>350</v>
      </c>
      <c r="B290" t="s">
        <v>31</v>
      </c>
      <c r="C290" s="1">
        <v>45624</v>
      </c>
      <c r="D290" t="s">
        <v>52</v>
      </c>
      <c r="E290">
        <v>2751</v>
      </c>
      <c r="F290">
        <v>33</v>
      </c>
      <c r="G290">
        <v>430</v>
      </c>
      <c r="H290">
        <v>44016</v>
      </c>
      <c r="I290">
        <v>43415</v>
      </c>
      <c r="J290">
        <v>129</v>
      </c>
      <c r="K290" t="s">
        <v>154</v>
      </c>
      <c r="L290" t="s">
        <v>56</v>
      </c>
      <c r="M290" s="5">
        <v>7.3018902217375503E-2</v>
      </c>
      <c r="N290">
        <f>Posts_1[[#This Row],[Likes]]+Posts_1[[#This Row],[Shares]]+Posts_1[[#This Row],[Comments]]</f>
        <v>3214</v>
      </c>
    </row>
    <row r="291" spans="1:14" x14ac:dyDescent="0.35">
      <c r="A291" t="s">
        <v>147</v>
      </c>
      <c r="B291" t="s">
        <v>30</v>
      </c>
      <c r="C291" s="1">
        <v>45646</v>
      </c>
      <c r="D291" t="s">
        <v>52</v>
      </c>
      <c r="E291">
        <v>2107</v>
      </c>
      <c r="F291">
        <v>550</v>
      </c>
      <c r="G291">
        <v>349</v>
      </c>
      <c r="H291">
        <v>35819</v>
      </c>
      <c r="I291">
        <v>35340</v>
      </c>
      <c r="J291">
        <v>191</v>
      </c>
      <c r="K291" t="s">
        <v>46</v>
      </c>
      <c r="L291" t="s">
        <v>19</v>
      </c>
      <c r="M291" s="5">
        <v>8.3921940869371006E-2</v>
      </c>
      <c r="N291">
        <f>Posts_1[[#This Row],[Likes]]+Posts_1[[#This Row],[Shares]]+Posts_1[[#This Row],[Comments]]</f>
        <v>3006</v>
      </c>
    </row>
    <row r="292" spans="1:14" x14ac:dyDescent="0.35">
      <c r="A292" t="s">
        <v>148</v>
      </c>
      <c r="B292" t="s">
        <v>31</v>
      </c>
      <c r="C292" s="1">
        <v>45602</v>
      </c>
      <c r="D292" t="s">
        <v>58</v>
      </c>
      <c r="E292">
        <v>4663</v>
      </c>
      <c r="F292">
        <v>145</v>
      </c>
      <c r="G292">
        <v>225</v>
      </c>
      <c r="H292">
        <v>69945</v>
      </c>
      <c r="I292">
        <v>69596</v>
      </c>
      <c r="J292">
        <v>35</v>
      </c>
      <c r="K292" t="s">
        <v>46</v>
      </c>
      <c r="L292" t="s">
        <v>19</v>
      </c>
      <c r="M292" s="5">
        <v>7.1956537279290869E-2</v>
      </c>
      <c r="N292">
        <f>Posts_1[[#This Row],[Likes]]+Posts_1[[#This Row],[Shares]]+Posts_1[[#This Row],[Comments]]</f>
        <v>5033</v>
      </c>
    </row>
    <row r="293" spans="1:14" x14ac:dyDescent="0.35">
      <c r="A293" t="s">
        <v>351</v>
      </c>
      <c r="B293" t="s">
        <v>31</v>
      </c>
      <c r="C293" s="1">
        <v>45613</v>
      </c>
      <c r="D293" t="s">
        <v>54</v>
      </c>
      <c r="E293">
        <v>880</v>
      </c>
      <c r="F293">
        <v>297</v>
      </c>
      <c r="G293">
        <v>345</v>
      </c>
      <c r="H293">
        <v>12320</v>
      </c>
      <c r="I293">
        <v>11978</v>
      </c>
      <c r="J293">
        <v>238</v>
      </c>
      <c r="K293" t="s">
        <v>366</v>
      </c>
      <c r="L293" t="s">
        <v>56</v>
      </c>
      <c r="M293" s="5">
        <v>0.12353896103896105</v>
      </c>
      <c r="N293">
        <f>Posts_1[[#This Row],[Likes]]+Posts_1[[#This Row],[Shares]]+Posts_1[[#This Row],[Comments]]</f>
        <v>1522</v>
      </c>
    </row>
    <row r="294" spans="1:14" x14ac:dyDescent="0.35">
      <c r="A294" t="s">
        <v>149</v>
      </c>
      <c r="B294" t="s">
        <v>31</v>
      </c>
      <c r="C294" s="1">
        <v>45791</v>
      </c>
      <c r="D294" t="s">
        <v>54</v>
      </c>
      <c r="E294">
        <v>2634</v>
      </c>
      <c r="F294">
        <v>726</v>
      </c>
      <c r="G294">
        <v>241</v>
      </c>
      <c r="H294">
        <v>28974</v>
      </c>
      <c r="I294">
        <v>28102</v>
      </c>
      <c r="J294">
        <v>277</v>
      </c>
      <c r="K294" t="s">
        <v>46</v>
      </c>
      <c r="L294" t="s">
        <v>7</v>
      </c>
      <c r="M294" s="5">
        <v>0.12428384068475185</v>
      </c>
      <c r="N294">
        <f>Posts_1[[#This Row],[Likes]]+Posts_1[[#This Row],[Shares]]+Posts_1[[#This Row],[Comments]]</f>
        <v>3601</v>
      </c>
    </row>
    <row r="295" spans="1:14" x14ac:dyDescent="0.35">
      <c r="A295" t="s">
        <v>150</v>
      </c>
      <c r="B295" t="s">
        <v>31</v>
      </c>
      <c r="C295" s="1">
        <v>45462</v>
      </c>
      <c r="D295" t="s">
        <v>52</v>
      </c>
      <c r="E295">
        <v>4731</v>
      </c>
      <c r="F295">
        <v>173</v>
      </c>
      <c r="G295">
        <v>276</v>
      </c>
      <c r="H295">
        <v>28386</v>
      </c>
      <c r="I295">
        <v>28185</v>
      </c>
      <c r="J295">
        <v>89</v>
      </c>
      <c r="K295" t="s">
        <v>46</v>
      </c>
      <c r="L295" t="s">
        <v>15</v>
      </c>
      <c r="M295" s="5">
        <v>0.18248432325794406</v>
      </c>
      <c r="N295">
        <f>Posts_1[[#This Row],[Likes]]+Posts_1[[#This Row],[Shares]]+Posts_1[[#This Row],[Comments]]</f>
        <v>5180</v>
      </c>
    </row>
    <row r="296" spans="1:14" x14ac:dyDescent="0.35">
      <c r="A296" t="s">
        <v>352</v>
      </c>
      <c r="B296" t="s">
        <v>32</v>
      </c>
      <c r="C296" s="1">
        <v>45783</v>
      </c>
      <c r="D296" t="s">
        <v>50</v>
      </c>
      <c r="E296">
        <v>1952</v>
      </c>
      <c r="F296">
        <v>344</v>
      </c>
      <c r="G296">
        <v>287</v>
      </c>
      <c r="H296">
        <v>15616</v>
      </c>
      <c r="I296">
        <v>15403</v>
      </c>
      <c r="J296">
        <v>235</v>
      </c>
      <c r="K296" t="s">
        <v>369</v>
      </c>
      <c r="L296" t="s">
        <v>11</v>
      </c>
      <c r="M296" s="5">
        <v>0.16540727459016394</v>
      </c>
      <c r="N296">
        <f>Posts_1[[#This Row],[Likes]]+Posts_1[[#This Row],[Shares]]+Posts_1[[#This Row],[Comments]]</f>
        <v>2583</v>
      </c>
    </row>
    <row r="297" spans="1:14" x14ac:dyDescent="0.35">
      <c r="A297" t="s">
        <v>353</v>
      </c>
      <c r="B297" t="s">
        <v>32</v>
      </c>
      <c r="C297" s="1">
        <v>45699</v>
      </c>
      <c r="D297" t="s">
        <v>58</v>
      </c>
      <c r="E297">
        <v>3440</v>
      </c>
      <c r="F297">
        <v>13</v>
      </c>
      <c r="G297">
        <v>20</v>
      </c>
      <c r="H297">
        <v>58480</v>
      </c>
      <c r="I297">
        <v>58146</v>
      </c>
      <c r="J297">
        <v>210</v>
      </c>
      <c r="K297" t="s">
        <v>372</v>
      </c>
      <c r="L297" t="s">
        <v>19</v>
      </c>
      <c r="M297" s="5">
        <v>5.9387824897400819E-2</v>
      </c>
      <c r="N297">
        <f>Posts_1[[#This Row],[Likes]]+Posts_1[[#This Row],[Shares]]+Posts_1[[#This Row],[Comments]]</f>
        <v>3473</v>
      </c>
    </row>
    <row r="298" spans="1:14" x14ac:dyDescent="0.35">
      <c r="A298" t="s">
        <v>151</v>
      </c>
      <c r="B298" t="s">
        <v>32</v>
      </c>
      <c r="C298" s="1">
        <v>45650</v>
      </c>
      <c r="D298" t="s">
        <v>54</v>
      </c>
      <c r="E298">
        <v>2166</v>
      </c>
      <c r="F298">
        <v>354</v>
      </c>
      <c r="G298">
        <v>117</v>
      </c>
      <c r="H298">
        <v>10830</v>
      </c>
      <c r="I298">
        <v>10245</v>
      </c>
      <c r="J298">
        <v>24</v>
      </c>
      <c r="K298" t="s">
        <v>46</v>
      </c>
      <c r="L298" t="s">
        <v>19</v>
      </c>
      <c r="M298" s="5">
        <v>0.24349030470914126</v>
      </c>
      <c r="N298">
        <f>Posts_1[[#This Row],[Likes]]+Posts_1[[#This Row],[Shares]]+Posts_1[[#This Row],[Comments]]</f>
        <v>2637</v>
      </c>
    </row>
    <row r="299" spans="1:14" x14ac:dyDescent="0.35">
      <c r="A299" t="s">
        <v>354</v>
      </c>
      <c r="B299" t="s">
        <v>31</v>
      </c>
      <c r="C299" s="1">
        <v>45589</v>
      </c>
      <c r="D299" t="s">
        <v>50</v>
      </c>
      <c r="E299">
        <v>4303</v>
      </c>
      <c r="F299">
        <v>451</v>
      </c>
      <c r="G299">
        <v>286</v>
      </c>
      <c r="H299">
        <v>86060</v>
      </c>
      <c r="I299">
        <v>85823</v>
      </c>
      <c r="J299">
        <v>14</v>
      </c>
      <c r="K299" t="s">
        <v>157</v>
      </c>
      <c r="L299" t="s">
        <v>15</v>
      </c>
      <c r="M299" s="5">
        <v>5.8563792702765516E-2</v>
      </c>
      <c r="N299">
        <f>Posts_1[[#This Row],[Likes]]+Posts_1[[#This Row],[Shares]]+Posts_1[[#This Row],[Comments]]</f>
        <v>5040</v>
      </c>
    </row>
    <row r="300" spans="1:14" x14ac:dyDescent="0.35">
      <c r="A300" t="s">
        <v>355</v>
      </c>
      <c r="B300" t="s">
        <v>31</v>
      </c>
      <c r="C300" s="1">
        <v>45530</v>
      </c>
      <c r="D300" t="s">
        <v>50</v>
      </c>
      <c r="E300">
        <v>2581</v>
      </c>
      <c r="F300">
        <v>517</v>
      </c>
      <c r="G300">
        <v>117</v>
      </c>
      <c r="H300">
        <v>23229</v>
      </c>
      <c r="I300">
        <v>22331</v>
      </c>
      <c r="J300">
        <v>70</v>
      </c>
      <c r="K300" t="s">
        <v>154</v>
      </c>
      <c r="L300" t="s">
        <v>15</v>
      </c>
      <c r="M300" s="5">
        <v>0.13840458048129492</v>
      </c>
      <c r="N300">
        <f>Posts_1[[#This Row],[Likes]]+Posts_1[[#This Row],[Shares]]+Posts_1[[#This Row],[Comments]]</f>
        <v>3215</v>
      </c>
    </row>
    <row r="301" spans="1:14" x14ac:dyDescent="0.35">
      <c r="A301" t="s">
        <v>152</v>
      </c>
      <c r="B301" t="s">
        <v>32</v>
      </c>
      <c r="C301" s="1">
        <v>45535</v>
      </c>
      <c r="D301" t="s">
        <v>52</v>
      </c>
      <c r="E301">
        <v>4494</v>
      </c>
      <c r="F301">
        <v>717</v>
      </c>
      <c r="G301">
        <v>45</v>
      </c>
      <c r="H301">
        <v>62916</v>
      </c>
      <c r="I301">
        <v>62688</v>
      </c>
      <c r="J301">
        <v>191</v>
      </c>
      <c r="K301" t="s">
        <v>377</v>
      </c>
      <c r="L301" t="s">
        <v>7</v>
      </c>
      <c r="M301" s="5">
        <v>8.3539958039290485E-2</v>
      </c>
      <c r="N301">
        <f>Posts_1[[#This Row],[Likes]]+Posts_1[[#This Row],[Shares]]+Posts_1[[#This Row],[Comments]]</f>
        <v>5256</v>
      </c>
    </row>
    <row r="302" spans="1:14" x14ac:dyDescent="0.35">
      <c r="C302" s="1"/>
      <c r="M302" s="4">
        <f>SUBTOTAL(101,Posts_1[Engagement Rate])</f>
        <v>0.14828272479852855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43FC6-D9FD-49B7-A098-7B055B7F846A}">
  <dimension ref="A1:M341"/>
  <sheetViews>
    <sheetView zoomScaleNormal="100" workbookViewId="0">
      <selection activeCell="C345" sqref="C345"/>
    </sheetView>
  </sheetViews>
  <sheetFormatPr defaultRowHeight="14.5" x14ac:dyDescent="0.35"/>
  <cols>
    <col min="1" max="1" width="9.08984375" bestFit="1" customWidth="1"/>
    <col min="2" max="2" width="10.453125" bestFit="1" customWidth="1"/>
    <col min="3" max="3" width="10.81640625" bestFit="1" customWidth="1"/>
    <col min="4" max="4" width="14.36328125" bestFit="1" customWidth="1"/>
    <col min="5" max="5" width="7.1796875" bestFit="1" customWidth="1"/>
    <col min="6" max="6" width="8.6328125" bestFit="1" customWidth="1"/>
    <col min="7" max="7" width="12.1796875" bestFit="1" customWidth="1"/>
    <col min="8" max="8" width="13.1796875" bestFit="1" customWidth="1"/>
    <col min="9" max="9" width="8.08984375" bestFit="1" customWidth="1"/>
    <col min="10" max="10" width="7.7265625" bestFit="1" customWidth="1"/>
    <col min="11" max="11" width="20.08984375" bestFit="1" customWidth="1"/>
    <col min="12" max="12" width="17.36328125" bestFit="1" customWidth="1"/>
    <col min="13" max="13" width="17.81640625" style="5" bestFit="1" customWidth="1"/>
  </cols>
  <sheetData>
    <row r="1" spans="1:13" x14ac:dyDescent="0.35">
      <c r="A1" s="32" t="s">
        <v>34</v>
      </c>
      <c r="B1" s="32" t="s">
        <v>24</v>
      </c>
      <c r="C1" s="32" t="s">
        <v>35</v>
      </c>
      <c r="D1" s="32" t="s">
        <v>36</v>
      </c>
      <c r="E1" s="32" t="s">
        <v>37</v>
      </c>
      <c r="F1" s="32" t="s">
        <v>38</v>
      </c>
      <c r="G1" s="32" t="s">
        <v>39</v>
      </c>
      <c r="H1" s="32" t="s">
        <v>40</v>
      </c>
      <c r="I1" s="32" t="s">
        <v>41</v>
      </c>
      <c r="J1" s="32" t="s">
        <v>42</v>
      </c>
      <c r="K1" s="32" t="s">
        <v>43</v>
      </c>
      <c r="L1" s="32" t="s">
        <v>0</v>
      </c>
      <c r="M1" s="33" t="s">
        <v>357</v>
      </c>
    </row>
    <row r="2" spans="1:13" x14ac:dyDescent="0.35">
      <c r="A2" s="26" t="s">
        <v>153</v>
      </c>
      <c r="B2" s="26" t="s">
        <v>32</v>
      </c>
      <c r="C2" s="27">
        <v>45649</v>
      </c>
      <c r="D2" s="26" t="s">
        <v>48</v>
      </c>
      <c r="E2" s="26">
        <v>1461</v>
      </c>
      <c r="F2" s="26">
        <v>184</v>
      </c>
      <c r="G2" s="26">
        <v>344</v>
      </c>
      <c r="H2" s="26">
        <v>21915</v>
      </c>
      <c r="I2" s="26">
        <v>21675</v>
      </c>
      <c r="J2" s="26">
        <v>15</v>
      </c>
      <c r="K2" s="26" t="s">
        <v>154</v>
      </c>
      <c r="L2" s="26" t="s">
        <v>7</v>
      </c>
      <c r="M2" s="30">
        <v>9.0759753593429152E-2</v>
      </c>
    </row>
    <row r="3" spans="1:13" x14ac:dyDescent="0.35">
      <c r="A3" s="28" t="s">
        <v>153</v>
      </c>
      <c r="B3" s="28" t="s">
        <v>32</v>
      </c>
      <c r="C3" s="29">
        <v>45649</v>
      </c>
      <c r="D3" s="28" t="s">
        <v>48</v>
      </c>
      <c r="E3" s="28">
        <v>1461</v>
      </c>
      <c r="F3" s="28">
        <v>184</v>
      </c>
      <c r="G3" s="28">
        <v>344</v>
      </c>
      <c r="H3" s="28">
        <v>21915</v>
      </c>
      <c r="I3" s="28">
        <v>21675</v>
      </c>
      <c r="J3" s="28">
        <v>15</v>
      </c>
      <c r="K3" s="28" t="s">
        <v>155</v>
      </c>
      <c r="L3" s="28" t="s">
        <v>7</v>
      </c>
      <c r="M3" s="31">
        <v>9.0759753593429152E-2</v>
      </c>
    </row>
    <row r="4" spans="1:13" x14ac:dyDescent="0.35">
      <c r="A4" s="26" t="s">
        <v>156</v>
      </c>
      <c r="B4" s="26" t="s">
        <v>32</v>
      </c>
      <c r="C4" s="27">
        <v>45750</v>
      </c>
      <c r="D4" s="26" t="s">
        <v>54</v>
      </c>
      <c r="E4" s="26">
        <v>4054</v>
      </c>
      <c r="F4" s="26">
        <v>389</v>
      </c>
      <c r="G4" s="26">
        <v>493</v>
      </c>
      <c r="H4" s="26">
        <v>64864</v>
      </c>
      <c r="I4" s="26">
        <v>64383</v>
      </c>
      <c r="J4" s="26">
        <v>117</v>
      </c>
      <c r="K4" s="26" t="s">
        <v>157</v>
      </c>
      <c r="L4" s="26" t="s">
        <v>11</v>
      </c>
      <c r="M4" s="30">
        <v>7.6097681302417369E-2</v>
      </c>
    </row>
    <row r="5" spans="1:13" x14ac:dyDescent="0.35">
      <c r="A5" s="28" t="s">
        <v>156</v>
      </c>
      <c r="B5" s="28" t="s">
        <v>32</v>
      </c>
      <c r="C5" s="29">
        <v>45750</v>
      </c>
      <c r="D5" s="28" t="s">
        <v>54</v>
      </c>
      <c r="E5" s="28">
        <v>4054</v>
      </c>
      <c r="F5" s="28">
        <v>389</v>
      </c>
      <c r="G5" s="28">
        <v>493</v>
      </c>
      <c r="H5" s="28">
        <v>64864</v>
      </c>
      <c r="I5" s="28">
        <v>64383</v>
      </c>
      <c r="J5" s="28">
        <v>117</v>
      </c>
      <c r="K5" s="28" t="s">
        <v>158</v>
      </c>
      <c r="L5" s="28" t="s">
        <v>11</v>
      </c>
      <c r="M5" s="31">
        <v>7.6097681302417369E-2</v>
      </c>
    </row>
    <row r="6" spans="1:13" x14ac:dyDescent="0.35">
      <c r="A6" s="26" t="s">
        <v>159</v>
      </c>
      <c r="B6" s="26" t="s">
        <v>33</v>
      </c>
      <c r="C6" s="27">
        <v>45789</v>
      </c>
      <c r="D6" s="26" t="s">
        <v>48</v>
      </c>
      <c r="E6" s="26">
        <v>2795</v>
      </c>
      <c r="F6" s="26">
        <v>105</v>
      </c>
      <c r="G6" s="26">
        <v>49</v>
      </c>
      <c r="H6" s="26">
        <v>53105</v>
      </c>
      <c r="I6" s="26">
        <v>52307</v>
      </c>
      <c r="J6" s="26">
        <v>204</v>
      </c>
      <c r="K6" s="26" t="s">
        <v>157</v>
      </c>
      <c r="L6" s="26" t="s">
        <v>15</v>
      </c>
      <c r="M6" s="30">
        <v>5.5531494209584781E-2</v>
      </c>
    </row>
    <row r="7" spans="1:13" x14ac:dyDescent="0.35">
      <c r="A7" s="28" t="s">
        <v>44</v>
      </c>
      <c r="B7" s="28" t="s">
        <v>30</v>
      </c>
      <c r="C7" s="29">
        <v>45516</v>
      </c>
      <c r="D7" s="28" t="s">
        <v>45</v>
      </c>
      <c r="E7" s="28">
        <v>2404</v>
      </c>
      <c r="F7" s="28">
        <v>363</v>
      </c>
      <c r="G7" s="28">
        <v>138</v>
      </c>
      <c r="H7" s="28">
        <v>19232</v>
      </c>
      <c r="I7" s="28">
        <v>18636</v>
      </c>
      <c r="J7" s="28">
        <v>128</v>
      </c>
      <c r="K7" s="28" t="s">
        <v>46</v>
      </c>
      <c r="L7" s="28" t="s">
        <v>19</v>
      </c>
      <c r="M7" s="31">
        <v>0.15105033277870217</v>
      </c>
    </row>
    <row r="8" spans="1:13" x14ac:dyDescent="0.35">
      <c r="A8" s="26" t="s">
        <v>47</v>
      </c>
      <c r="B8" s="26" t="s">
        <v>33</v>
      </c>
      <c r="C8" s="27">
        <v>45469</v>
      </c>
      <c r="D8" s="26" t="s">
        <v>48</v>
      </c>
      <c r="E8" s="26">
        <v>3557</v>
      </c>
      <c r="F8" s="26">
        <v>687</v>
      </c>
      <c r="G8" s="26">
        <v>424</v>
      </c>
      <c r="H8" s="26">
        <v>71140</v>
      </c>
      <c r="I8" s="26">
        <v>70701</v>
      </c>
      <c r="J8" s="26">
        <v>224</v>
      </c>
      <c r="K8" s="26" t="s">
        <v>46</v>
      </c>
      <c r="L8" s="26" t="s">
        <v>7</v>
      </c>
      <c r="M8" s="30">
        <v>6.5617093055946027E-2</v>
      </c>
    </row>
    <row r="9" spans="1:13" x14ac:dyDescent="0.35">
      <c r="A9" s="28" t="s">
        <v>47</v>
      </c>
      <c r="B9" s="28" t="s">
        <v>33</v>
      </c>
      <c r="C9" s="29">
        <v>45469</v>
      </c>
      <c r="D9" s="28" t="s">
        <v>48</v>
      </c>
      <c r="E9" s="28">
        <v>3557</v>
      </c>
      <c r="F9" s="28">
        <v>687</v>
      </c>
      <c r="G9" s="28">
        <v>424</v>
      </c>
      <c r="H9" s="28">
        <v>71140</v>
      </c>
      <c r="I9" s="28">
        <v>70701</v>
      </c>
      <c r="J9" s="28">
        <v>224</v>
      </c>
      <c r="K9" s="28" t="s">
        <v>157</v>
      </c>
      <c r="L9" s="28" t="s">
        <v>7</v>
      </c>
      <c r="M9" s="31">
        <v>6.5617093055946027E-2</v>
      </c>
    </row>
    <row r="10" spans="1:13" x14ac:dyDescent="0.35">
      <c r="A10" s="26" t="s">
        <v>160</v>
      </c>
      <c r="B10" s="26" t="s">
        <v>31</v>
      </c>
      <c r="C10" s="27">
        <v>45596</v>
      </c>
      <c r="D10" s="26" t="s">
        <v>52</v>
      </c>
      <c r="E10" s="26">
        <v>2945</v>
      </c>
      <c r="F10" s="26">
        <v>930</v>
      </c>
      <c r="G10" s="26">
        <v>355</v>
      </c>
      <c r="H10" s="26">
        <v>23560</v>
      </c>
      <c r="I10" s="26">
        <v>23275</v>
      </c>
      <c r="J10" s="26">
        <v>256</v>
      </c>
      <c r="K10" s="26" t="s">
        <v>157</v>
      </c>
      <c r="L10" s="26" t="s">
        <v>11</v>
      </c>
      <c r="M10" s="30">
        <v>0.17954159592529711</v>
      </c>
    </row>
    <row r="11" spans="1:13" x14ac:dyDescent="0.35">
      <c r="A11" s="28" t="s">
        <v>161</v>
      </c>
      <c r="B11" s="28" t="s">
        <v>32</v>
      </c>
      <c r="C11" s="29">
        <v>45467</v>
      </c>
      <c r="D11" s="28" t="s">
        <v>52</v>
      </c>
      <c r="E11" s="28">
        <v>3860</v>
      </c>
      <c r="F11" s="28">
        <v>201</v>
      </c>
      <c r="G11" s="28">
        <v>279</v>
      </c>
      <c r="H11" s="28">
        <v>61760</v>
      </c>
      <c r="I11" s="28">
        <v>61660</v>
      </c>
      <c r="J11" s="28">
        <v>235</v>
      </c>
      <c r="K11" s="28" t="s">
        <v>157</v>
      </c>
      <c r="L11" s="28" t="s">
        <v>11</v>
      </c>
      <c r="M11" s="31">
        <v>7.0272020725388601E-2</v>
      </c>
    </row>
    <row r="12" spans="1:13" x14ac:dyDescent="0.35">
      <c r="A12" s="26" t="s">
        <v>49</v>
      </c>
      <c r="B12" s="26" t="s">
        <v>33</v>
      </c>
      <c r="C12" s="27">
        <v>45486</v>
      </c>
      <c r="D12" s="26" t="s">
        <v>50</v>
      </c>
      <c r="E12" s="26">
        <v>3929</v>
      </c>
      <c r="F12" s="26">
        <v>262</v>
      </c>
      <c r="G12" s="26">
        <v>278</v>
      </c>
      <c r="H12" s="26">
        <v>43219</v>
      </c>
      <c r="I12" s="26">
        <v>42841</v>
      </c>
      <c r="J12" s="26">
        <v>39</v>
      </c>
      <c r="K12" s="26" t="s">
        <v>46</v>
      </c>
      <c r="L12" s="26" t="s">
        <v>19</v>
      </c>
      <c r="M12" s="30">
        <v>0.10340359564080612</v>
      </c>
    </row>
    <row r="13" spans="1:13" x14ac:dyDescent="0.35">
      <c r="A13" s="28" t="s">
        <v>162</v>
      </c>
      <c r="B13" s="28" t="s">
        <v>31</v>
      </c>
      <c r="C13" s="29">
        <v>45534</v>
      </c>
      <c r="D13" s="28" t="s">
        <v>54</v>
      </c>
      <c r="E13" s="28">
        <v>3784</v>
      </c>
      <c r="F13" s="28">
        <v>808</v>
      </c>
      <c r="G13" s="28">
        <v>404</v>
      </c>
      <c r="H13" s="28">
        <v>56760</v>
      </c>
      <c r="I13" s="28">
        <v>56343</v>
      </c>
      <c r="J13" s="28">
        <v>131</v>
      </c>
      <c r="K13" s="28" t="s">
        <v>157</v>
      </c>
      <c r="L13" s="28" t="s">
        <v>11</v>
      </c>
      <c r="M13" s="31">
        <v>8.8019732205778717E-2</v>
      </c>
    </row>
    <row r="14" spans="1:13" x14ac:dyDescent="0.35">
      <c r="A14" s="26" t="s">
        <v>163</v>
      </c>
      <c r="B14" s="26" t="s">
        <v>31</v>
      </c>
      <c r="C14" s="27">
        <v>45727</v>
      </c>
      <c r="D14" s="26" t="s">
        <v>50</v>
      </c>
      <c r="E14" s="26">
        <v>4241</v>
      </c>
      <c r="F14" s="26">
        <v>902</v>
      </c>
      <c r="G14" s="26">
        <v>47</v>
      </c>
      <c r="H14" s="26">
        <v>72097</v>
      </c>
      <c r="I14" s="26">
        <v>71598</v>
      </c>
      <c r="J14" s="26">
        <v>167</v>
      </c>
      <c r="K14" s="26" t="s">
        <v>157</v>
      </c>
      <c r="L14" s="26" t="s">
        <v>11</v>
      </c>
      <c r="M14" s="30">
        <v>7.198635172059864E-2</v>
      </c>
    </row>
    <row r="15" spans="1:13" x14ac:dyDescent="0.35">
      <c r="A15" s="28" t="s">
        <v>164</v>
      </c>
      <c r="B15" s="28" t="s">
        <v>30</v>
      </c>
      <c r="C15" s="29">
        <v>45690</v>
      </c>
      <c r="D15" s="28" t="s">
        <v>45</v>
      </c>
      <c r="E15" s="28">
        <v>1792</v>
      </c>
      <c r="F15" s="28">
        <v>614</v>
      </c>
      <c r="G15" s="28">
        <v>497</v>
      </c>
      <c r="H15" s="28">
        <v>25088</v>
      </c>
      <c r="I15" s="28">
        <v>24675</v>
      </c>
      <c r="J15" s="28">
        <v>65</v>
      </c>
      <c r="K15" s="28" t="s">
        <v>154</v>
      </c>
      <c r="L15" s="28" t="s">
        <v>19</v>
      </c>
      <c r="M15" s="31">
        <v>0.1157126913265306</v>
      </c>
    </row>
    <row r="16" spans="1:13" x14ac:dyDescent="0.35">
      <c r="A16" s="26" t="s">
        <v>165</v>
      </c>
      <c r="B16" s="26" t="s">
        <v>31</v>
      </c>
      <c r="C16" s="27">
        <v>45494</v>
      </c>
      <c r="D16" s="26" t="s">
        <v>48</v>
      </c>
      <c r="E16" s="26">
        <v>1946</v>
      </c>
      <c r="F16" s="26">
        <v>686</v>
      </c>
      <c r="G16" s="26">
        <v>377</v>
      </c>
      <c r="H16" s="26">
        <v>23352</v>
      </c>
      <c r="I16" s="26">
        <v>22982</v>
      </c>
      <c r="J16" s="26">
        <v>213</v>
      </c>
      <c r="K16" s="26" t="s">
        <v>154</v>
      </c>
      <c r="L16" s="26" t="s">
        <v>15</v>
      </c>
      <c r="M16" s="30">
        <v>0.12885405960945528</v>
      </c>
    </row>
    <row r="17" spans="1:13" x14ac:dyDescent="0.35">
      <c r="A17" s="28" t="s">
        <v>51</v>
      </c>
      <c r="B17" s="28" t="s">
        <v>33</v>
      </c>
      <c r="C17" s="29">
        <v>45614</v>
      </c>
      <c r="D17" s="28" t="s">
        <v>52</v>
      </c>
      <c r="E17" s="28">
        <v>1171</v>
      </c>
      <c r="F17" s="28">
        <v>286</v>
      </c>
      <c r="G17" s="28">
        <v>231</v>
      </c>
      <c r="H17" s="28">
        <v>22249</v>
      </c>
      <c r="I17" s="28">
        <v>21282</v>
      </c>
      <c r="J17" s="28">
        <v>114</v>
      </c>
      <c r="K17" s="28" t="s">
        <v>46</v>
      </c>
      <c r="L17" s="28" t="s">
        <v>7</v>
      </c>
      <c r="M17" s="31">
        <v>7.5868578363072495E-2</v>
      </c>
    </row>
    <row r="18" spans="1:13" x14ac:dyDescent="0.35">
      <c r="A18" s="26" t="s">
        <v>166</v>
      </c>
      <c r="B18" s="26" t="s">
        <v>31</v>
      </c>
      <c r="C18" s="27">
        <v>45704</v>
      </c>
      <c r="D18" s="26" t="s">
        <v>45</v>
      </c>
      <c r="E18" s="26">
        <v>4242</v>
      </c>
      <c r="F18" s="26">
        <v>555</v>
      </c>
      <c r="G18" s="26">
        <v>131</v>
      </c>
      <c r="H18" s="26">
        <v>33936</v>
      </c>
      <c r="I18" s="26">
        <v>33802</v>
      </c>
      <c r="J18" s="26">
        <v>265</v>
      </c>
      <c r="K18" s="26" t="s">
        <v>154</v>
      </c>
      <c r="L18" s="26" t="s">
        <v>56</v>
      </c>
      <c r="M18" s="30">
        <v>0.14521452145214522</v>
      </c>
    </row>
    <row r="19" spans="1:13" x14ac:dyDescent="0.35">
      <c r="A19" s="28" t="s">
        <v>167</v>
      </c>
      <c r="B19" s="28" t="s">
        <v>31</v>
      </c>
      <c r="C19" s="29">
        <v>45589</v>
      </c>
      <c r="D19" s="28" t="s">
        <v>58</v>
      </c>
      <c r="E19" s="28">
        <v>3888</v>
      </c>
      <c r="F19" s="28">
        <v>604</v>
      </c>
      <c r="G19" s="28">
        <v>128</v>
      </c>
      <c r="H19" s="28">
        <v>77760</v>
      </c>
      <c r="I19" s="28">
        <v>77167</v>
      </c>
      <c r="J19" s="28">
        <v>20</v>
      </c>
      <c r="K19" s="28" t="s">
        <v>154</v>
      </c>
      <c r="L19" s="28" t="s">
        <v>7</v>
      </c>
      <c r="M19" s="31">
        <v>5.941358024691358E-2</v>
      </c>
    </row>
    <row r="20" spans="1:13" x14ac:dyDescent="0.35">
      <c r="A20" s="26" t="s">
        <v>168</v>
      </c>
      <c r="B20" s="26" t="s">
        <v>31</v>
      </c>
      <c r="C20" s="27">
        <v>45530</v>
      </c>
      <c r="D20" s="26" t="s">
        <v>54</v>
      </c>
      <c r="E20" s="26">
        <v>3452</v>
      </c>
      <c r="F20" s="26">
        <v>377</v>
      </c>
      <c r="G20" s="26">
        <v>360</v>
      </c>
      <c r="H20" s="26">
        <v>55232</v>
      </c>
      <c r="I20" s="26">
        <v>55075</v>
      </c>
      <c r="J20" s="26">
        <v>87</v>
      </c>
      <c r="K20" s="26" t="s">
        <v>154</v>
      </c>
      <c r="L20" s="26" t="s">
        <v>15</v>
      </c>
      <c r="M20" s="30">
        <v>7.5843713789107758E-2</v>
      </c>
    </row>
    <row r="21" spans="1:13" x14ac:dyDescent="0.35">
      <c r="A21" s="28" t="s">
        <v>53</v>
      </c>
      <c r="B21" s="28" t="s">
        <v>31</v>
      </c>
      <c r="C21" s="29">
        <v>45782</v>
      </c>
      <c r="D21" s="28" t="s">
        <v>54</v>
      </c>
      <c r="E21" s="28">
        <v>4441</v>
      </c>
      <c r="F21" s="28">
        <v>511</v>
      </c>
      <c r="G21" s="28">
        <v>70</v>
      </c>
      <c r="H21" s="28">
        <v>53292</v>
      </c>
      <c r="I21" s="28">
        <v>53082</v>
      </c>
      <c r="J21" s="28">
        <v>159</v>
      </c>
      <c r="K21" s="28" t="s">
        <v>46</v>
      </c>
      <c r="L21" s="28" t="s">
        <v>19</v>
      </c>
      <c r="M21" s="31">
        <v>9.4235532537716729E-2</v>
      </c>
    </row>
    <row r="22" spans="1:13" x14ac:dyDescent="0.35">
      <c r="A22" s="26" t="s">
        <v>169</v>
      </c>
      <c r="B22" s="26" t="s">
        <v>30</v>
      </c>
      <c r="C22" s="27">
        <v>45523</v>
      </c>
      <c r="D22" s="26" t="s">
        <v>48</v>
      </c>
      <c r="E22" s="26">
        <v>3000</v>
      </c>
      <c r="F22" s="26">
        <v>382</v>
      </c>
      <c r="G22" s="26">
        <v>325</v>
      </c>
      <c r="H22" s="26">
        <v>36000</v>
      </c>
      <c r="I22" s="26">
        <v>35819</v>
      </c>
      <c r="J22" s="26">
        <v>19</v>
      </c>
      <c r="K22" s="26" t="s">
        <v>154</v>
      </c>
      <c r="L22" s="26" t="s">
        <v>7</v>
      </c>
      <c r="M22" s="30">
        <v>0.10297222222222224</v>
      </c>
    </row>
    <row r="23" spans="1:13" x14ac:dyDescent="0.35">
      <c r="A23" s="28" t="s">
        <v>170</v>
      </c>
      <c r="B23" s="28" t="s">
        <v>30</v>
      </c>
      <c r="C23" s="29">
        <v>45466</v>
      </c>
      <c r="D23" s="28" t="s">
        <v>58</v>
      </c>
      <c r="E23" s="28">
        <v>1071</v>
      </c>
      <c r="F23" s="28">
        <v>519</v>
      </c>
      <c r="G23" s="28">
        <v>22</v>
      </c>
      <c r="H23" s="28">
        <v>16065</v>
      </c>
      <c r="I23" s="28">
        <v>15865</v>
      </c>
      <c r="J23" s="28">
        <v>103</v>
      </c>
      <c r="K23" s="28" t="s">
        <v>157</v>
      </c>
      <c r="L23" s="28" t="s">
        <v>19</v>
      </c>
      <c r="M23" s="31">
        <v>0.10034235916588856</v>
      </c>
    </row>
    <row r="24" spans="1:13" x14ac:dyDescent="0.35">
      <c r="A24" s="26" t="s">
        <v>171</v>
      </c>
      <c r="B24" s="26" t="s">
        <v>30</v>
      </c>
      <c r="C24" s="27">
        <v>45544</v>
      </c>
      <c r="D24" s="26" t="s">
        <v>52</v>
      </c>
      <c r="E24" s="26">
        <v>4054</v>
      </c>
      <c r="F24" s="26">
        <v>488</v>
      </c>
      <c r="G24" s="26">
        <v>373</v>
      </c>
      <c r="H24" s="26">
        <v>77026</v>
      </c>
      <c r="I24" s="26">
        <v>76881</v>
      </c>
      <c r="J24" s="26">
        <v>25</v>
      </c>
      <c r="K24" s="26" t="s">
        <v>157</v>
      </c>
      <c r="L24" s="26" t="s">
        <v>7</v>
      </c>
      <c r="M24" s="30">
        <v>6.3809622724794221E-2</v>
      </c>
    </row>
    <row r="25" spans="1:13" x14ac:dyDescent="0.35">
      <c r="A25" s="28" t="s">
        <v>172</v>
      </c>
      <c r="B25" s="28" t="s">
        <v>30</v>
      </c>
      <c r="C25" s="29">
        <v>45661</v>
      </c>
      <c r="D25" s="28" t="s">
        <v>48</v>
      </c>
      <c r="E25" s="28">
        <v>4838</v>
      </c>
      <c r="F25" s="28">
        <v>640</v>
      </c>
      <c r="G25" s="28">
        <v>128</v>
      </c>
      <c r="H25" s="28">
        <v>72570</v>
      </c>
      <c r="I25" s="28">
        <v>72396</v>
      </c>
      <c r="J25" s="28">
        <v>83</v>
      </c>
      <c r="K25" s="28" t="s">
        <v>154</v>
      </c>
      <c r="L25" s="28" t="s">
        <v>19</v>
      </c>
      <c r="M25" s="31">
        <v>7.7249552156538517E-2</v>
      </c>
    </row>
    <row r="26" spans="1:13" x14ac:dyDescent="0.35">
      <c r="A26" s="26" t="s">
        <v>173</v>
      </c>
      <c r="B26" s="26" t="s">
        <v>31</v>
      </c>
      <c r="C26" s="27">
        <v>45715</v>
      </c>
      <c r="D26" s="26" t="s">
        <v>54</v>
      </c>
      <c r="E26" s="26">
        <v>1570</v>
      </c>
      <c r="F26" s="26">
        <v>187</v>
      </c>
      <c r="G26" s="26">
        <v>260</v>
      </c>
      <c r="H26" s="26">
        <v>25120</v>
      </c>
      <c r="I26" s="26">
        <v>24613</v>
      </c>
      <c r="J26" s="26">
        <v>133</v>
      </c>
      <c r="K26" s="26" t="s">
        <v>157</v>
      </c>
      <c r="L26" s="26" t="s">
        <v>19</v>
      </c>
      <c r="M26" s="30">
        <v>8.0294585987261149E-2</v>
      </c>
    </row>
    <row r="27" spans="1:13" x14ac:dyDescent="0.35">
      <c r="A27" s="28" t="s">
        <v>174</v>
      </c>
      <c r="B27" s="28" t="s">
        <v>31</v>
      </c>
      <c r="C27" s="29">
        <v>45602</v>
      </c>
      <c r="D27" s="28" t="s">
        <v>58</v>
      </c>
      <c r="E27" s="28">
        <v>1606</v>
      </c>
      <c r="F27" s="28">
        <v>547</v>
      </c>
      <c r="G27" s="28">
        <v>316</v>
      </c>
      <c r="H27" s="28">
        <v>32120</v>
      </c>
      <c r="I27" s="28">
        <v>31736</v>
      </c>
      <c r="J27" s="28">
        <v>225</v>
      </c>
      <c r="K27" s="28" t="s">
        <v>157</v>
      </c>
      <c r="L27" s="28" t="s">
        <v>11</v>
      </c>
      <c r="M27" s="31">
        <v>7.6867995018679955E-2</v>
      </c>
    </row>
    <row r="28" spans="1:13" x14ac:dyDescent="0.35">
      <c r="A28" s="26" t="s">
        <v>174</v>
      </c>
      <c r="B28" s="26" t="s">
        <v>31</v>
      </c>
      <c r="C28" s="27">
        <v>45602</v>
      </c>
      <c r="D28" s="26" t="s">
        <v>58</v>
      </c>
      <c r="E28" s="26">
        <v>1606</v>
      </c>
      <c r="F28" s="26">
        <v>547</v>
      </c>
      <c r="G28" s="26">
        <v>316</v>
      </c>
      <c r="H28" s="26">
        <v>32120</v>
      </c>
      <c r="I28" s="26">
        <v>31736</v>
      </c>
      <c r="J28" s="26">
        <v>225</v>
      </c>
      <c r="K28" s="26" t="s">
        <v>155</v>
      </c>
      <c r="L28" s="26" t="s">
        <v>11</v>
      </c>
      <c r="M28" s="30">
        <v>7.6867995018679955E-2</v>
      </c>
    </row>
    <row r="29" spans="1:13" x14ac:dyDescent="0.35">
      <c r="A29" s="28" t="s">
        <v>175</v>
      </c>
      <c r="B29" s="28" t="s">
        <v>31</v>
      </c>
      <c r="C29" s="29">
        <v>45680</v>
      </c>
      <c r="D29" s="28" t="s">
        <v>58</v>
      </c>
      <c r="E29" s="28">
        <v>3961</v>
      </c>
      <c r="F29" s="28">
        <v>761</v>
      </c>
      <c r="G29" s="28">
        <v>131</v>
      </c>
      <c r="H29" s="28">
        <v>67337</v>
      </c>
      <c r="I29" s="28">
        <v>66615</v>
      </c>
      <c r="J29" s="28">
        <v>161</v>
      </c>
      <c r="K29" s="28" t="s">
        <v>154</v>
      </c>
      <c r="L29" s="28" t="s">
        <v>15</v>
      </c>
      <c r="M29" s="31">
        <v>7.2070332803659209E-2</v>
      </c>
    </row>
    <row r="30" spans="1:13" x14ac:dyDescent="0.35">
      <c r="A30" s="26" t="s">
        <v>55</v>
      </c>
      <c r="B30" s="26" t="s">
        <v>32</v>
      </c>
      <c r="C30" s="27">
        <v>45757</v>
      </c>
      <c r="D30" s="26" t="s">
        <v>52</v>
      </c>
      <c r="E30" s="26">
        <v>3128</v>
      </c>
      <c r="F30" s="26">
        <v>211</v>
      </c>
      <c r="G30" s="26">
        <v>197</v>
      </c>
      <c r="H30" s="26">
        <v>59432</v>
      </c>
      <c r="I30" s="26">
        <v>59182</v>
      </c>
      <c r="J30" s="26">
        <v>238</v>
      </c>
      <c r="K30" s="26" t="s">
        <v>46</v>
      </c>
      <c r="L30" s="26" t="s">
        <v>56</v>
      </c>
      <c r="M30" s="30">
        <v>5.9496567505720827E-2</v>
      </c>
    </row>
    <row r="31" spans="1:13" x14ac:dyDescent="0.35">
      <c r="A31" s="28" t="s">
        <v>176</v>
      </c>
      <c r="B31" s="28" t="s">
        <v>33</v>
      </c>
      <c r="C31" s="29">
        <v>45752</v>
      </c>
      <c r="D31" s="28" t="s">
        <v>48</v>
      </c>
      <c r="E31" s="28">
        <v>3009</v>
      </c>
      <c r="F31" s="28">
        <v>413</v>
      </c>
      <c r="G31" s="28">
        <v>358</v>
      </c>
      <c r="H31" s="28">
        <v>42126</v>
      </c>
      <c r="I31" s="28">
        <v>41309</v>
      </c>
      <c r="J31" s="28">
        <v>211</v>
      </c>
      <c r="K31" s="28" t="s">
        <v>154</v>
      </c>
      <c r="L31" s="28" t="s">
        <v>11</v>
      </c>
      <c r="M31" s="31">
        <v>8.9730807577268201E-2</v>
      </c>
    </row>
    <row r="32" spans="1:13" x14ac:dyDescent="0.35">
      <c r="A32" s="26" t="s">
        <v>177</v>
      </c>
      <c r="B32" s="26" t="s">
        <v>33</v>
      </c>
      <c r="C32" s="27">
        <v>45552</v>
      </c>
      <c r="D32" s="26" t="s">
        <v>54</v>
      </c>
      <c r="E32" s="26">
        <v>2076</v>
      </c>
      <c r="F32" s="26">
        <v>195</v>
      </c>
      <c r="G32" s="26">
        <v>104</v>
      </c>
      <c r="H32" s="26">
        <v>33216</v>
      </c>
      <c r="I32" s="26">
        <v>32244</v>
      </c>
      <c r="J32" s="26">
        <v>51</v>
      </c>
      <c r="K32" s="26" t="s">
        <v>154</v>
      </c>
      <c r="L32" s="26" t="s">
        <v>19</v>
      </c>
      <c r="M32" s="30">
        <v>7.1501685934489398E-2</v>
      </c>
    </row>
    <row r="33" spans="1:13" x14ac:dyDescent="0.35">
      <c r="A33" s="28" t="s">
        <v>178</v>
      </c>
      <c r="B33" s="28" t="s">
        <v>30</v>
      </c>
      <c r="C33" s="29">
        <v>45720</v>
      </c>
      <c r="D33" s="28" t="s">
        <v>58</v>
      </c>
      <c r="E33" s="28">
        <v>432</v>
      </c>
      <c r="F33" s="28">
        <v>624</v>
      </c>
      <c r="G33" s="28">
        <v>123</v>
      </c>
      <c r="H33" s="28">
        <v>6912</v>
      </c>
      <c r="I33" s="28">
        <v>6259</v>
      </c>
      <c r="J33" s="28">
        <v>79</v>
      </c>
      <c r="K33" s="28" t="s">
        <v>154</v>
      </c>
      <c r="L33" s="28" t="s">
        <v>19</v>
      </c>
      <c r="M33" s="31">
        <v>0.17057291666666666</v>
      </c>
    </row>
    <row r="34" spans="1:13" x14ac:dyDescent="0.35">
      <c r="A34" s="26" t="s">
        <v>179</v>
      </c>
      <c r="B34" s="26" t="s">
        <v>30</v>
      </c>
      <c r="C34" s="27">
        <v>45688</v>
      </c>
      <c r="D34" s="26" t="s">
        <v>52</v>
      </c>
      <c r="E34" s="26">
        <v>2566</v>
      </c>
      <c r="F34" s="26">
        <v>118</v>
      </c>
      <c r="G34" s="26">
        <v>37</v>
      </c>
      <c r="H34" s="26">
        <v>12830</v>
      </c>
      <c r="I34" s="26">
        <v>12264</v>
      </c>
      <c r="J34" s="26">
        <v>221</v>
      </c>
      <c r="K34" s="26" t="s">
        <v>154</v>
      </c>
      <c r="L34" s="26" t="s">
        <v>15</v>
      </c>
      <c r="M34" s="30">
        <v>0.21208106001558849</v>
      </c>
    </row>
    <row r="35" spans="1:13" x14ac:dyDescent="0.35">
      <c r="A35" s="28" t="s">
        <v>57</v>
      </c>
      <c r="B35" s="28" t="s">
        <v>30</v>
      </c>
      <c r="C35" s="29">
        <v>45713</v>
      </c>
      <c r="D35" s="28" t="s">
        <v>58</v>
      </c>
      <c r="E35" s="28">
        <v>3095</v>
      </c>
      <c r="F35" s="28">
        <v>39</v>
      </c>
      <c r="G35" s="28">
        <v>78</v>
      </c>
      <c r="H35" s="28">
        <v>55710</v>
      </c>
      <c r="I35" s="28">
        <v>54808</v>
      </c>
      <c r="J35" s="28">
        <v>93</v>
      </c>
      <c r="K35" s="28" t="s">
        <v>46</v>
      </c>
      <c r="L35" s="28" t="s">
        <v>56</v>
      </c>
      <c r="M35" s="31">
        <v>5.7655717106444085E-2</v>
      </c>
    </row>
    <row r="36" spans="1:13" x14ac:dyDescent="0.35">
      <c r="A36" s="26" t="s">
        <v>180</v>
      </c>
      <c r="B36" s="26" t="s">
        <v>30</v>
      </c>
      <c r="C36" s="27">
        <v>45642</v>
      </c>
      <c r="D36" s="26" t="s">
        <v>54</v>
      </c>
      <c r="E36" s="26">
        <v>438</v>
      </c>
      <c r="F36" s="26">
        <v>153</v>
      </c>
      <c r="G36" s="26">
        <v>275</v>
      </c>
      <c r="H36" s="26">
        <v>3066</v>
      </c>
      <c r="I36" s="26">
        <v>2701</v>
      </c>
      <c r="J36" s="26">
        <v>282</v>
      </c>
      <c r="K36" s="26" t="s">
        <v>157</v>
      </c>
      <c r="L36" s="26" t="s">
        <v>11</v>
      </c>
      <c r="M36" s="30">
        <v>0.28245270711024134</v>
      </c>
    </row>
    <row r="37" spans="1:13" x14ac:dyDescent="0.35">
      <c r="A37" s="28" t="s">
        <v>59</v>
      </c>
      <c r="B37" s="28" t="s">
        <v>32</v>
      </c>
      <c r="C37" s="29">
        <v>45504</v>
      </c>
      <c r="D37" s="28" t="s">
        <v>52</v>
      </c>
      <c r="E37" s="28">
        <v>2278</v>
      </c>
      <c r="F37" s="28">
        <v>10</v>
      </c>
      <c r="G37" s="28">
        <v>321</v>
      </c>
      <c r="H37" s="28">
        <v>13668</v>
      </c>
      <c r="I37" s="28">
        <v>12676</v>
      </c>
      <c r="J37" s="28">
        <v>275</v>
      </c>
      <c r="K37" s="28" t="s">
        <v>46</v>
      </c>
      <c r="L37" s="28" t="s">
        <v>7</v>
      </c>
      <c r="M37" s="31">
        <v>0.19088381621305239</v>
      </c>
    </row>
    <row r="38" spans="1:13" x14ac:dyDescent="0.35">
      <c r="A38" s="26" t="s">
        <v>181</v>
      </c>
      <c r="B38" s="26" t="s">
        <v>31</v>
      </c>
      <c r="C38" s="27">
        <v>45525</v>
      </c>
      <c r="D38" s="26" t="s">
        <v>50</v>
      </c>
      <c r="E38" s="26">
        <v>1407</v>
      </c>
      <c r="F38" s="26">
        <v>400</v>
      </c>
      <c r="G38" s="26">
        <v>351</v>
      </c>
      <c r="H38" s="26">
        <v>16884</v>
      </c>
      <c r="I38" s="26">
        <v>15954</v>
      </c>
      <c r="J38" s="26">
        <v>113</v>
      </c>
      <c r="K38" s="26" t="s">
        <v>157</v>
      </c>
      <c r="L38" s="26" t="s">
        <v>7</v>
      </c>
      <c r="M38" s="30">
        <v>0.12781331438047855</v>
      </c>
    </row>
    <row r="39" spans="1:13" x14ac:dyDescent="0.35">
      <c r="A39" s="28" t="s">
        <v>182</v>
      </c>
      <c r="B39" s="28" t="s">
        <v>31</v>
      </c>
      <c r="C39" s="29">
        <v>45742</v>
      </c>
      <c r="D39" s="28" t="s">
        <v>54</v>
      </c>
      <c r="E39" s="28">
        <v>1652</v>
      </c>
      <c r="F39" s="28">
        <v>89</v>
      </c>
      <c r="G39" s="28">
        <v>357</v>
      </c>
      <c r="H39" s="28">
        <v>29736</v>
      </c>
      <c r="I39" s="28">
        <v>28771</v>
      </c>
      <c r="J39" s="28">
        <v>215</v>
      </c>
      <c r="K39" s="28" t="s">
        <v>157</v>
      </c>
      <c r="L39" s="28" t="s">
        <v>15</v>
      </c>
      <c r="M39" s="31">
        <v>7.055421038471886E-2</v>
      </c>
    </row>
    <row r="40" spans="1:13" x14ac:dyDescent="0.35">
      <c r="A40" s="26" t="s">
        <v>183</v>
      </c>
      <c r="B40" s="26" t="s">
        <v>30</v>
      </c>
      <c r="C40" s="27">
        <v>45626</v>
      </c>
      <c r="D40" s="26" t="s">
        <v>58</v>
      </c>
      <c r="E40" s="26">
        <v>3775</v>
      </c>
      <c r="F40" s="26">
        <v>16</v>
      </c>
      <c r="G40" s="26">
        <v>239</v>
      </c>
      <c r="H40" s="26">
        <v>33975</v>
      </c>
      <c r="I40" s="26">
        <v>33310</v>
      </c>
      <c r="J40" s="26">
        <v>271</v>
      </c>
      <c r="K40" s="26" t="s">
        <v>154</v>
      </c>
      <c r="L40" s="26" t="s">
        <v>11</v>
      </c>
      <c r="M40" s="30">
        <v>0.11861662987490802</v>
      </c>
    </row>
    <row r="41" spans="1:13" x14ac:dyDescent="0.35">
      <c r="A41" s="28" t="s">
        <v>60</v>
      </c>
      <c r="B41" s="28" t="s">
        <v>30</v>
      </c>
      <c r="C41" s="29">
        <v>45766</v>
      </c>
      <c r="D41" s="28" t="s">
        <v>45</v>
      </c>
      <c r="E41" s="28">
        <v>4518</v>
      </c>
      <c r="F41" s="28">
        <v>285</v>
      </c>
      <c r="G41" s="28">
        <v>383</v>
      </c>
      <c r="H41" s="28">
        <v>67770</v>
      </c>
      <c r="I41" s="28">
        <v>67621</v>
      </c>
      <c r="J41" s="28">
        <v>31</v>
      </c>
      <c r="K41" s="28" t="s">
        <v>46</v>
      </c>
      <c r="L41" s="28" t="s">
        <v>11</v>
      </c>
      <c r="M41" s="31">
        <v>7.6523535487678915E-2</v>
      </c>
    </row>
    <row r="42" spans="1:13" x14ac:dyDescent="0.35">
      <c r="A42" s="26" t="s">
        <v>61</v>
      </c>
      <c r="B42" s="26" t="s">
        <v>31</v>
      </c>
      <c r="C42" s="27">
        <v>45663</v>
      </c>
      <c r="D42" s="26" t="s">
        <v>52</v>
      </c>
      <c r="E42" s="26">
        <v>3024</v>
      </c>
      <c r="F42" s="26">
        <v>925</v>
      </c>
      <c r="G42" s="26">
        <v>350</v>
      </c>
      <c r="H42" s="26">
        <v>24192</v>
      </c>
      <c r="I42" s="26">
        <v>23518</v>
      </c>
      <c r="J42" s="26">
        <v>36</v>
      </c>
      <c r="K42" s="26" t="s">
        <v>46</v>
      </c>
      <c r="L42" s="26" t="s">
        <v>11</v>
      </c>
      <c r="M42" s="30">
        <v>0.17770337301587302</v>
      </c>
    </row>
    <row r="43" spans="1:13" x14ac:dyDescent="0.35">
      <c r="A43" s="28" t="s">
        <v>184</v>
      </c>
      <c r="B43" s="28" t="s">
        <v>33</v>
      </c>
      <c r="C43" s="29">
        <v>45705</v>
      </c>
      <c r="D43" s="28" t="s">
        <v>48</v>
      </c>
      <c r="E43" s="28">
        <v>3138</v>
      </c>
      <c r="F43" s="28">
        <v>123</v>
      </c>
      <c r="G43" s="28">
        <v>291</v>
      </c>
      <c r="H43" s="28">
        <v>28242</v>
      </c>
      <c r="I43" s="28">
        <v>27550</v>
      </c>
      <c r="J43" s="28">
        <v>87</v>
      </c>
      <c r="K43" s="28" t="s">
        <v>157</v>
      </c>
      <c r="L43" s="28" t="s">
        <v>19</v>
      </c>
      <c r="M43" s="31">
        <v>0.12577012959422135</v>
      </c>
    </row>
    <row r="44" spans="1:13" x14ac:dyDescent="0.35">
      <c r="A44" s="26" t="s">
        <v>185</v>
      </c>
      <c r="B44" s="26" t="s">
        <v>31</v>
      </c>
      <c r="C44" s="27">
        <v>45621</v>
      </c>
      <c r="D44" s="26" t="s">
        <v>50</v>
      </c>
      <c r="E44" s="26">
        <v>3564</v>
      </c>
      <c r="F44" s="26">
        <v>629</v>
      </c>
      <c r="G44" s="26">
        <v>177</v>
      </c>
      <c r="H44" s="26">
        <v>60588</v>
      </c>
      <c r="I44" s="26">
        <v>59627</v>
      </c>
      <c r="J44" s="26">
        <v>92</v>
      </c>
      <c r="K44" s="26" t="s">
        <v>157</v>
      </c>
      <c r="L44" s="26" t="s">
        <v>56</v>
      </c>
      <c r="M44" s="30">
        <v>7.2126493695121141E-2</v>
      </c>
    </row>
    <row r="45" spans="1:13" x14ac:dyDescent="0.35">
      <c r="A45" s="28" t="s">
        <v>62</v>
      </c>
      <c r="B45" s="28" t="s">
        <v>32</v>
      </c>
      <c r="C45" s="29">
        <v>45723</v>
      </c>
      <c r="D45" s="28" t="s">
        <v>50</v>
      </c>
      <c r="E45" s="28">
        <v>4750</v>
      </c>
      <c r="F45" s="28">
        <v>151</v>
      </c>
      <c r="G45" s="28">
        <v>415</v>
      </c>
      <c r="H45" s="28">
        <v>38000</v>
      </c>
      <c r="I45" s="28">
        <v>37792</v>
      </c>
      <c r="J45" s="28">
        <v>299</v>
      </c>
      <c r="K45" s="28" t="s">
        <v>46</v>
      </c>
      <c r="L45" s="28" t="s">
        <v>19</v>
      </c>
      <c r="M45" s="31">
        <v>0.13989473684210527</v>
      </c>
    </row>
    <row r="46" spans="1:13" x14ac:dyDescent="0.35">
      <c r="A46" s="26" t="s">
        <v>186</v>
      </c>
      <c r="B46" s="26" t="s">
        <v>30</v>
      </c>
      <c r="C46" s="27">
        <v>45724</v>
      </c>
      <c r="D46" s="26" t="s">
        <v>48</v>
      </c>
      <c r="E46" s="26">
        <v>456</v>
      </c>
      <c r="F46" s="26">
        <v>629</v>
      </c>
      <c r="G46" s="26">
        <v>428</v>
      </c>
      <c r="H46" s="26">
        <v>8208</v>
      </c>
      <c r="I46" s="26">
        <v>7377</v>
      </c>
      <c r="J46" s="26">
        <v>205</v>
      </c>
      <c r="K46" s="26" t="s">
        <v>154</v>
      </c>
      <c r="L46" s="26" t="s">
        <v>19</v>
      </c>
      <c r="M46" s="30">
        <v>0.18433235867446393</v>
      </c>
    </row>
    <row r="47" spans="1:13" x14ac:dyDescent="0.35">
      <c r="A47" s="28" t="s">
        <v>63</v>
      </c>
      <c r="B47" s="28" t="s">
        <v>33</v>
      </c>
      <c r="C47" s="29">
        <v>45721</v>
      </c>
      <c r="D47" s="28" t="s">
        <v>48</v>
      </c>
      <c r="E47" s="28">
        <v>1543</v>
      </c>
      <c r="F47" s="28">
        <v>820</v>
      </c>
      <c r="G47" s="28">
        <v>333</v>
      </c>
      <c r="H47" s="28">
        <v>12344</v>
      </c>
      <c r="I47" s="28">
        <v>11496</v>
      </c>
      <c r="J47" s="28">
        <v>241</v>
      </c>
      <c r="K47" s="28" t="s">
        <v>46</v>
      </c>
      <c r="L47" s="28" t="s">
        <v>56</v>
      </c>
      <c r="M47" s="31">
        <v>0.21840570317563188</v>
      </c>
    </row>
    <row r="48" spans="1:13" x14ac:dyDescent="0.35">
      <c r="A48" s="26" t="s">
        <v>187</v>
      </c>
      <c r="B48" s="26" t="s">
        <v>30</v>
      </c>
      <c r="C48" s="27">
        <v>45640</v>
      </c>
      <c r="D48" s="26" t="s">
        <v>52</v>
      </c>
      <c r="E48" s="26">
        <v>2174</v>
      </c>
      <c r="F48" s="26">
        <v>658</v>
      </c>
      <c r="G48" s="26">
        <v>15</v>
      </c>
      <c r="H48" s="26">
        <v>13044</v>
      </c>
      <c r="I48" s="26">
        <v>12206</v>
      </c>
      <c r="J48" s="26">
        <v>137</v>
      </c>
      <c r="K48" s="26" t="s">
        <v>157</v>
      </c>
      <c r="L48" s="26" t="s">
        <v>15</v>
      </c>
      <c r="M48" s="30">
        <v>0.21826126954921804</v>
      </c>
    </row>
    <row r="49" spans="1:13" x14ac:dyDescent="0.35">
      <c r="A49" s="28" t="s">
        <v>188</v>
      </c>
      <c r="B49" s="28" t="s">
        <v>32</v>
      </c>
      <c r="C49" s="29">
        <v>45718</v>
      </c>
      <c r="D49" s="28" t="s">
        <v>50</v>
      </c>
      <c r="E49" s="28">
        <v>2358</v>
      </c>
      <c r="F49" s="28">
        <v>784</v>
      </c>
      <c r="G49" s="28">
        <v>344</v>
      </c>
      <c r="H49" s="28">
        <v>35370</v>
      </c>
      <c r="I49" s="28">
        <v>34475</v>
      </c>
      <c r="J49" s="28">
        <v>216</v>
      </c>
      <c r="K49" s="28" t="s">
        <v>157</v>
      </c>
      <c r="L49" s="28" t="s">
        <v>56</v>
      </c>
      <c r="M49" s="31">
        <v>9.8558100084817649E-2</v>
      </c>
    </row>
    <row r="50" spans="1:13" x14ac:dyDescent="0.35">
      <c r="A50" s="26" t="s">
        <v>189</v>
      </c>
      <c r="B50" s="26" t="s">
        <v>31</v>
      </c>
      <c r="C50" s="27">
        <v>45597</v>
      </c>
      <c r="D50" s="26" t="s">
        <v>58</v>
      </c>
      <c r="E50" s="26">
        <v>3371</v>
      </c>
      <c r="F50" s="26">
        <v>106</v>
      </c>
      <c r="G50" s="26">
        <v>327</v>
      </c>
      <c r="H50" s="26">
        <v>50565</v>
      </c>
      <c r="I50" s="26">
        <v>49816</v>
      </c>
      <c r="J50" s="26">
        <v>176</v>
      </c>
      <c r="K50" s="26" t="s">
        <v>154</v>
      </c>
      <c r="L50" s="26" t="s">
        <v>7</v>
      </c>
      <c r="M50" s="30">
        <v>7.5229902106199939E-2</v>
      </c>
    </row>
    <row r="51" spans="1:13" x14ac:dyDescent="0.35">
      <c r="A51" s="28" t="s">
        <v>190</v>
      </c>
      <c r="B51" s="28" t="s">
        <v>32</v>
      </c>
      <c r="C51" s="29">
        <v>45779</v>
      </c>
      <c r="D51" s="28" t="s">
        <v>58</v>
      </c>
      <c r="E51" s="28">
        <v>1108</v>
      </c>
      <c r="F51" s="28">
        <v>177</v>
      </c>
      <c r="G51" s="28">
        <v>212</v>
      </c>
      <c r="H51" s="28">
        <v>8864</v>
      </c>
      <c r="I51" s="28">
        <v>8710</v>
      </c>
      <c r="J51" s="28">
        <v>97</v>
      </c>
      <c r="K51" s="28" t="s">
        <v>157</v>
      </c>
      <c r="L51" s="28" t="s">
        <v>19</v>
      </c>
      <c r="M51" s="31">
        <v>0.16888537906137183</v>
      </c>
    </row>
    <row r="52" spans="1:13" x14ac:dyDescent="0.35">
      <c r="A52" s="26" t="s">
        <v>191</v>
      </c>
      <c r="B52" s="26" t="s">
        <v>32</v>
      </c>
      <c r="C52" s="27">
        <v>45712</v>
      </c>
      <c r="D52" s="26" t="s">
        <v>52</v>
      </c>
      <c r="E52" s="26">
        <v>2704</v>
      </c>
      <c r="F52" s="26">
        <v>752</v>
      </c>
      <c r="G52" s="26">
        <v>153</v>
      </c>
      <c r="H52" s="26">
        <v>21632</v>
      </c>
      <c r="I52" s="26">
        <v>20792</v>
      </c>
      <c r="J52" s="26">
        <v>127</v>
      </c>
      <c r="K52" s="26" t="s">
        <v>154</v>
      </c>
      <c r="L52" s="26" t="s">
        <v>56</v>
      </c>
      <c r="M52" s="30">
        <v>0.16683616863905326</v>
      </c>
    </row>
    <row r="53" spans="1:13" x14ac:dyDescent="0.35">
      <c r="A53" s="28" t="s">
        <v>192</v>
      </c>
      <c r="B53" s="28" t="s">
        <v>32</v>
      </c>
      <c r="C53" s="29">
        <v>45727</v>
      </c>
      <c r="D53" s="28" t="s">
        <v>45</v>
      </c>
      <c r="E53" s="28">
        <v>1950</v>
      </c>
      <c r="F53" s="28">
        <v>295</v>
      </c>
      <c r="G53" s="28">
        <v>478</v>
      </c>
      <c r="H53" s="28">
        <v>37050</v>
      </c>
      <c r="I53" s="28">
        <v>36272</v>
      </c>
      <c r="J53" s="28">
        <v>119</v>
      </c>
      <c r="K53" s="28" t="s">
        <v>157</v>
      </c>
      <c r="L53" s="28" t="s">
        <v>56</v>
      </c>
      <c r="M53" s="31">
        <v>7.349527665317139E-2</v>
      </c>
    </row>
    <row r="54" spans="1:13" x14ac:dyDescent="0.35">
      <c r="A54" s="26" t="s">
        <v>193</v>
      </c>
      <c r="B54" s="26" t="s">
        <v>32</v>
      </c>
      <c r="C54" s="27">
        <v>45453</v>
      </c>
      <c r="D54" s="26" t="s">
        <v>45</v>
      </c>
      <c r="E54" s="26">
        <v>2164</v>
      </c>
      <c r="F54" s="26">
        <v>549</v>
      </c>
      <c r="G54" s="26">
        <v>274</v>
      </c>
      <c r="H54" s="26">
        <v>28132</v>
      </c>
      <c r="I54" s="26">
        <v>27361</v>
      </c>
      <c r="J54" s="26">
        <v>177</v>
      </c>
      <c r="K54" s="26" t="s">
        <v>157</v>
      </c>
      <c r="L54" s="26" t="s">
        <v>19</v>
      </c>
      <c r="M54" s="30">
        <v>0.10617801791554102</v>
      </c>
    </row>
    <row r="55" spans="1:13" x14ac:dyDescent="0.35">
      <c r="A55" s="28" t="s">
        <v>194</v>
      </c>
      <c r="B55" s="28" t="s">
        <v>33</v>
      </c>
      <c r="C55" s="29">
        <v>45476</v>
      </c>
      <c r="D55" s="28" t="s">
        <v>45</v>
      </c>
      <c r="E55" s="28">
        <v>2754</v>
      </c>
      <c r="F55" s="28">
        <v>130</v>
      </c>
      <c r="G55" s="28">
        <v>90</v>
      </c>
      <c r="H55" s="28">
        <v>22032</v>
      </c>
      <c r="I55" s="28">
        <v>21288</v>
      </c>
      <c r="J55" s="28">
        <v>112</v>
      </c>
      <c r="K55" s="28" t="s">
        <v>157</v>
      </c>
      <c r="L55" s="28" t="s">
        <v>15</v>
      </c>
      <c r="M55" s="31">
        <v>0.13498547567175018</v>
      </c>
    </row>
    <row r="56" spans="1:13" x14ac:dyDescent="0.35">
      <c r="A56" s="26" t="s">
        <v>195</v>
      </c>
      <c r="B56" s="26" t="s">
        <v>31</v>
      </c>
      <c r="C56" s="27">
        <v>45456</v>
      </c>
      <c r="D56" s="26" t="s">
        <v>52</v>
      </c>
      <c r="E56" s="26">
        <v>2200</v>
      </c>
      <c r="F56" s="26">
        <v>504</v>
      </c>
      <c r="G56" s="26">
        <v>239</v>
      </c>
      <c r="H56" s="26">
        <v>37400</v>
      </c>
      <c r="I56" s="26">
        <v>36938</v>
      </c>
      <c r="J56" s="26">
        <v>225</v>
      </c>
      <c r="K56" s="26" t="s">
        <v>154</v>
      </c>
      <c r="L56" s="26" t="s">
        <v>11</v>
      </c>
      <c r="M56" s="30">
        <v>7.8689839572192513E-2</v>
      </c>
    </row>
    <row r="57" spans="1:13" x14ac:dyDescent="0.35">
      <c r="A57" s="28" t="s">
        <v>196</v>
      </c>
      <c r="B57" s="28" t="s">
        <v>31</v>
      </c>
      <c r="C57" s="29">
        <v>45660</v>
      </c>
      <c r="D57" s="28" t="s">
        <v>50</v>
      </c>
      <c r="E57" s="28">
        <v>947</v>
      </c>
      <c r="F57" s="28">
        <v>338</v>
      </c>
      <c r="G57" s="28">
        <v>350</v>
      </c>
      <c r="H57" s="28">
        <v>10417</v>
      </c>
      <c r="I57" s="28">
        <v>9730</v>
      </c>
      <c r="J57" s="28">
        <v>34</v>
      </c>
      <c r="K57" s="28" t="s">
        <v>157</v>
      </c>
      <c r="L57" s="28" t="s">
        <v>19</v>
      </c>
      <c r="M57" s="31">
        <v>0.1569549774407219</v>
      </c>
    </row>
    <row r="58" spans="1:13" x14ac:dyDescent="0.35">
      <c r="A58" s="26" t="s">
        <v>64</v>
      </c>
      <c r="B58" s="26" t="s">
        <v>33</v>
      </c>
      <c r="C58" s="27">
        <v>45712</v>
      </c>
      <c r="D58" s="26" t="s">
        <v>52</v>
      </c>
      <c r="E58" s="26">
        <v>804</v>
      </c>
      <c r="F58" s="26">
        <v>639</v>
      </c>
      <c r="G58" s="26">
        <v>43</v>
      </c>
      <c r="H58" s="26">
        <v>4020</v>
      </c>
      <c r="I58" s="26">
        <v>3144</v>
      </c>
      <c r="J58" s="26">
        <v>11</v>
      </c>
      <c r="K58" s="26" t="s">
        <v>46</v>
      </c>
      <c r="L58" s="26" t="s">
        <v>56</v>
      </c>
      <c r="M58" s="30">
        <v>0.36965174129353234</v>
      </c>
    </row>
    <row r="59" spans="1:13" x14ac:dyDescent="0.35">
      <c r="A59" s="28" t="s">
        <v>64</v>
      </c>
      <c r="B59" s="28" t="s">
        <v>33</v>
      </c>
      <c r="C59" s="29">
        <v>45712</v>
      </c>
      <c r="D59" s="28" t="s">
        <v>52</v>
      </c>
      <c r="E59" s="28">
        <v>804</v>
      </c>
      <c r="F59" s="28">
        <v>639</v>
      </c>
      <c r="G59" s="28">
        <v>43</v>
      </c>
      <c r="H59" s="28">
        <v>4020</v>
      </c>
      <c r="I59" s="28">
        <v>3144</v>
      </c>
      <c r="J59" s="28">
        <v>11</v>
      </c>
      <c r="K59" s="28" t="s">
        <v>158</v>
      </c>
      <c r="L59" s="28" t="s">
        <v>56</v>
      </c>
      <c r="M59" s="31">
        <v>0.36965174129353234</v>
      </c>
    </row>
    <row r="60" spans="1:13" x14ac:dyDescent="0.35">
      <c r="A60" s="26" t="s">
        <v>197</v>
      </c>
      <c r="B60" s="26" t="s">
        <v>33</v>
      </c>
      <c r="C60" s="27">
        <v>45729</v>
      </c>
      <c r="D60" s="26" t="s">
        <v>52</v>
      </c>
      <c r="E60" s="26">
        <v>1686</v>
      </c>
      <c r="F60" s="26">
        <v>904</v>
      </c>
      <c r="G60" s="26">
        <v>472</v>
      </c>
      <c r="H60" s="26">
        <v>18546</v>
      </c>
      <c r="I60" s="26">
        <v>18171</v>
      </c>
      <c r="J60" s="26">
        <v>52</v>
      </c>
      <c r="K60" s="26" t="s">
        <v>154</v>
      </c>
      <c r="L60" s="26" t="s">
        <v>11</v>
      </c>
      <c r="M60" s="30">
        <v>0.16510298716704411</v>
      </c>
    </row>
    <row r="61" spans="1:13" x14ac:dyDescent="0.35">
      <c r="A61" s="28" t="s">
        <v>65</v>
      </c>
      <c r="B61" s="28" t="s">
        <v>31</v>
      </c>
      <c r="C61" s="29">
        <v>45460</v>
      </c>
      <c r="D61" s="28" t="s">
        <v>50</v>
      </c>
      <c r="E61" s="28">
        <v>1226</v>
      </c>
      <c r="F61" s="28">
        <v>119</v>
      </c>
      <c r="G61" s="28">
        <v>7</v>
      </c>
      <c r="H61" s="28">
        <v>14712</v>
      </c>
      <c r="I61" s="28">
        <v>14049</v>
      </c>
      <c r="J61" s="28">
        <v>123</v>
      </c>
      <c r="K61" s="28" t="s">
        <v>46</v>
      </c>
      <c r="L61" s="28" t="s">
        <v>19</v>
      </c>
      <c r="M61" s="31">
        <v>9.1897770527460579E-2</v>
      </c>
    </row>
    <row r="62" spans="1:13" x14ac:dyDescent="0.35">
      <c r="A62" s="26" t="s">
        <v>198</v>
      </c>
      <c r="B62" s="26" t="s">
        <v>31</v>
      </c>
      <c r="C62" s="27">
        <v>45644</v>
      </c>
      <c r="D62" s="26" t="s">
        <v>52</v>
      </c>
      <c r="E62" s="26">
        <v>2946</v>
      </c>
      <c r="F62" s="26">
        <v>498</v>
      </c>
      <c r="G62" s="26">
        <v>367</v>
      </c>
      <c r="H62" s="26">
        <v>29460</v>
      </c>
      <c r="I62" s="26">
        <v>28527</v>
      </c>
      <c r="J62" s="26">
        <v>60</v>
      </c>
      <c r="K62" s="26" t="s">
        <v>154</v>
      </c>
      <c r="L62" s="26" t="s">
        <v>15</v>
      </c>
      <c r="M62" s="30">
        <v>0.12936184657162253</v>
      </c>
    </row>
    <row r="63" spans="1:13" x14ac:dyDescent="0.35">
      <c r="A63" s="28" t="s">
        <v>199</v>
      </c>
      <c r="B63" s="28" t="s">
        <v>32</v>
      </c>
      <c r="C63" s="29">
        <v>45586</v>
      </c>
      <c r="D63" s="28" t="s">
        <v>58</v>
      </c>
      <c r="E63" s="28">
        <v>2825</v>
      </c>
      <c r="F63" s="28">
        <v>535</v>
      </c>
      <c r="G63" s="28">
        <v>295</v>
      </c>
      <c r="H63" s="28">
        <v>45200</v>
      </c>
      <c r="I63" s="28">
        <v>44739</v>
      </c>
      <c r="J63" s="28">
        <v>169</v>
      </c>
      <c r="K63" s="28" t="s">
        <v>157</v>
      </c>
      <c r="L63" s="28" t="s">
        <v>7</v>
      </c>
      <c r="M63" s="31">
        <v>8.0862831858407078E-2</v>
      </c>
    </row>
    <row r="64" spans="1:13" x14ac:dyDescent="0.35">
      <c r="A64" s="26" t="s">
        <v>200</v>
      </c>
      <c r="B64" s="26" t="s">
        <v>30</v>
      </c>
      <c r="C64" s="27">
        <v>45762</v>
      </c>
      <c r="D64" s="26" t="s">
        <v>48</v>
      </c>
      <c r="E64" s="26">
        <v>103</v>
      </c>
      <c r="F64" s="26">
        <v>770</v>
      </c>
      <c r="G64" s="26">
        <v>19</v>
      </c>
      <c r="H64" s="26">
        <v>1030</v>
      </c>
      <c r="I64" s="26">
        <v>410</v>
      </c>
      <c r="J64" s="26">
        <v>262</v>
      </c>
      <c r="K64" s="26" t="s">
        <v>157</v>
      </c>
      <c r="L64" s="26" t="s">
        <v>19</v>
      </c>
      <c r="M64" s="30">
        <v>0.86601941747572819</v>
      </c>
    </row>
    <row r="65" spans="1:13" x14ac:dyDescent="0.35">
      <c r="A65" s="28" t="s">
        <v>66</v>
      </c>
      <c r="B65" s="28" t="s">
        <v>30</v>
      </c>
      <c r="C65" s="29">
        <v>45465</v>
      </c>
      <c r="D65" s="28" t="s">
        <v>54</v>
      </c>
      <c r="E65" s="28">
        <v>2180</v>
      </c>
      <c r="F65" s="28">
        <v>263</v>
      </c>
      <c r="G65" s="28">
        <v>387</v>
      </c>
      <c r="H65" s="28">
        <v>30520</v>
      </c>
      <c r="I65" s="28">
        <v>30059</v>
      </c>
      <c r="J65" s="28">
        <v>174</v>
      </c>
      <c r="K65" s="28" t="s">
        <v>46</v>
      </c>
      <c r="L65" s="28" t="s">
        <v>56</v>
      </c>
      <c r="M65" s="31">
        <v>9.2726081258191345E-2</v>
      </c>
    </row>
    <row r="66" spans="1:13" x14ac:dyDescent="0.35">
      <c r="A66" s="26" t="s">
        <v>67</v>
      </c>
      <c r="B66" s="26" t="s">
        <v>30</v>
      </c>
      <c r="C66" s="27">
        <v>45685</v>
      </c>
      <c r="D66" s="26" t="s">
        <v>58</v>
      </c>
      <c r="E66" s="26">
        <v>904</v>
      </c>
      <c r="F66" s="26">
        <v>973</v>
      </c>
      <c r="G66" s="26">
        <v>63</v>
      </c>
      <c r="H66" s="26">
        <v>11752</v>
      </c>
      <c r="I66" s="26">
        <v>11580</v>
      </c>
      <c r="J66" s="26">
        <v>84</v>
      </c>
      <c r="K66" s="26" t="s">
        <v>46</v>
      </c>
      <c r="L66" s="26" t="s">
        <v>15</v>
      </c>
      <c r="M66" s="30">
        <v>0.1650782845473111</v>
      </c>
    </row>
    <row r="67" spans="1:13" x14ac:dyDescent="0.35">
      <c r="A67" s="28" t="s">
        <v>67</v>
      </c>
      <c r="B67" s="28" t="s">
        <v>30</v>
      </c>
      <c r="C67" s="29">
        <v>45685</v>
      </c>
      <c r="D67" s="28" t="s">
        <v>58</v>
      </c>
      <c r="E67" s="28">
        <v>904</v>
      </c>
      <c r="F67" s="28">
        <v>973</v>
      </c>
      <c r="G67" s="28">
        <v>63</v>
      </c>
      <c r="H67" s="28">
        <v>11752</v>
      </c>
      <c r="I67" s="28">
        <v>11580</v>
      </c>
      <c r="J67" s="28">
        <v>84</v>
      </c>
      <c r="K67" s="28" t="s">
        <v>157</v>
      </c>
      <c r="L67" s="28" t="s">
        <v>15</v>
      </c>
      <c r="M67" s="31">
        <v>0.1650782845473111</v>
      </c>
    </row>
    <row r="68" spans="1:13" x14ac:dyDescent="0.35">
      <c r="A68" s="26" t="s">
        <v>67</v>
      </c>
      <c r="B68" s="26" t="s">
        <v>30</v>
      </c>
      <c r="C68" s="27">
        <v>45685</v>
      </c>
      <c r="D68" s="26" t="s">
        <v>58</v>
      </c>
      <c r="E68" s="26">
        <v>904</v>
      </c>
      <c r="F68" s="26">
        <v>973</v>
      </c>
      <c r="G68" s="26">
        <v>63</v>
      </c>
      <c r="H68" s="26">
        <v>11752</v>
      </c>
      <c r="I68" s="26">
        <v>11580</v>
      </c>
      <c r="J68" s="26">
        <v>84</v>
      </c>
      <c r="K68" s="26" t="s">
        <v>155</v>
      </c>
      <c r="L68" s="26" t="s">
        <v>15</v>
      </c>
      <c r="M68" s="30">
        <v>0.1650782845473111</v>
      </c>
    </row>
    <row r="69" spans="1:13" x14ac:dyDescent="0.35">
      <c r="A69" s="28" t="s">
        <v>201</v>
      </c>
      <c r="B69" s="28" t="s">
        <v>32</v>
      </c>
      <c r="C69" s="29">
        <v>45540</v>
      </c>
      <c r="D69" s="28" t="s">
        <v>58</v>
      </c>
      <c r="E69" s="28">
        <v>4886</v>
      </c>
      <c r="F69" s="28">
        <v>983</v>
      </c>
      <c r="G69" s="28">
        <v>409</v>
      </c>
      <c r="H69" s="28">
        <v>43974</v>
      </c>
      <c r="I69" s="28">
        <v>43239</v>
      </c>
      <c r="J69" s="28">
        <v>65</v>
      </c>
      <c r="K69" s="28" t="s">
        <v>157</v>
      </c>
      <c r="L69" s="28" t="s">
        <v>7</v>
      </c>
      <c r="M69" s="31">
        <v>0.14276618001546368</v>
      </c>
    </row>
    <row r="70" spans="1:13" x14ac:dyDescent="0.35">
      <c r="A70" s="26" t="s">
        <v>202</v>
      </c>
      <c r="B70" s="26" t="s">
        <v>32</v>
      </c>
      <c r="C70" s="27">
        <v>45618</v>
      </c>
      <c r="D70" s="26" t="s">
        <v>52</v>
      </c>
      <c r="E70" s="26">
        <v>53</v>
      </c>
      <c r="F70" s="26">
        <v>81</v>
      </c>
      <c r="G70" s="26">
        <v>379</v>
      </c>
      <c r="H70" s="26">
        <v>954</v>
      </c>
      <c r="I70" s="26">
        <v>7</v>
      </c>
      <c r="J70" s="26">
        <v>148</v>
      </c>
      <c r="K70" s="26" t="s">
        <v>157</v>
      </c>
      <c r="L70" s="26" t="s">
        <v>15</v>
      </c>
      <c r="M70" s="30">
        <v>0.53773584905660377</v>
      </c>
    </row>
    <row r="71" spans="1:13" x14ac:dyDescent="0.35">
      <c r="A71" s="28" t="s">
        <v>203</v>
      </c>
      <c r="B71" s="28" t="s">
        <v>32</v>
      </c>
      <c r="C71" s="29">
        <v>45504</v>
      </c>
      <c r="D71" s="28" t="s">
        <v>52</v>
      </c>
      <c r="E71" s="28">
        <v>4507</v>
      </c>
      <c r="F71" s="28">
        <v>217</v>
      </c>
      <c r="G71" s="28">
        <v>13</v>
      </c>
      <c r="H71" s="28">
        <v>90140</v>
      </c>
      <c r="I71" s="28">
        <v>89591</v>
      </c>
      <c r="J71" s="28">
        <v>125</v>
      </c>
      <c r="K71" s="28" t="s">
        <v>154</v>
      </c>
      <c r="L71" s="28" t="s">
        <v>15</v>
      </c>
      <c r="M71" s="31">
        <v>5.2551586421122697E-2</v>
      </c>
    </row>
    <row r="72" spans="1:13" x14ac:dyDescent="0.35">
      <c r="A72" s="26" t="s">
        <v>204</v>
      </c>
      <c r="B72" s="26" t="s">
        <v>31</v>
      </c>
      <c r="C72" s="27">
        <v>45521</v>
      </c>
      <c r="D72" s="26" t="s">
        <v>50</v>
      </c>
      <c r="E72" s="26">
        <v>2878</v>
      </c>
      <c r="F72" s="26">
        <v>248</v>
      </c>
      <c r="G72" s="26">
        <v>416</v>
      </c>
      <c r="H72" s="26">
        <v>43170</v>
      </c>
      <c r="I72" s="26">
        <v>42667</v>
      </c>
      <c r="J72" s="26">
        <v>75</v>
      </c>
      <c r="K72" s="26" t="s">
        <v>154</v>
      </c>
      <c r="L72" s="26" t="s">
        <v>15</v>
      </c>
      <c r="M72" s="30">
        <v>8.2047718322909427E-2</v>
      </c>
    </row>
    <row r="73" spans="1:13" x14ac:dyDescent="0.35">
      <c r="A73" s="28" t="s">
        <v>68</v>
      </c>
      <c r="B73" s="28" t="s">
        <v>30</v>
      </c>
      <c r="C73" s="29">
        <v>45744</v>
      </c>
      <c r="D73" s="28" t="s">
        <v>45</v>
      </c>
      <c r="E73" s="28">
        <v>1881</v>
      </c>
      <c r="F73" s="28">
        <v>501</v>
      </c>
      <c r="G73" s="28">
        <v>99</v>
      </c>
      <c r="H73" s="28">
        <v>20691</v>
      </c>
      <c r="I73" s="28">
        <v>19987</v>
      </c>
      <c r="J73" s="28">
        <v>289</v>
      </c>
      <c r="K73" s="28" t="s">
        <v>46</v>
      </c>
      <c r="L73" s="28" t="s">
        <v>56</v>
      </c>
      <c r="M73" s="31">
        <v>0.11990720603160794</v>
      </c>
    </row>
    <row r="74" spans="1:13" x14ac:dyDescent="0.35">
      <c r="A74" s="26" t="s">
        <v>69</v>
      </c>
      <c r="B74" s="26" t="s">
        <v>32</v>
      </c>
      <c r="C74" s="27">
        <v>45499</v>
      </c>
      <c r="D74" s="26" t="s">
        <v>52</v>
      </c>
      <c r="E74" s="26">
        <v>432</v>
      </c>
      <c r="F74" s="26">
        <v>171</v>
      </c>
      <c r="G74" s="26">
        <v>280</v>
      </c>
      <c r="H74" s="26">
        <v>3024</v>
      </c>
      <c r="I74" s="26">
        <v>2285</v>
      </c>
      <c r="J74" s="26">
        <v>184</v>
      </c>
      <c r="K74" s="26" t="s">
        <v>46</v>
      </c>
      <c r="L74" s="26" t="s">
        <v>7</v>
      </c>
      <c r="M74" s="30">
        <v>0.29199735449735448</v>
      </c>
    </row>
    <row r="75" spans="1:13" x14ac:dyDescent="0.35">
      <c r="A75" s="28" t="s">
        <v>70</v>
      </c>
      <c r="B75" s="28" t="s">
        <v>31</v>
      </c>
      <c r="C75" s="29">
        <v>45745</v>
      </c>
      <c r="D75" s="28" t="s">
        <v>52</v>
      </c>
      <c r="E75" s="28">
        <v>4712</v>
      </c>
      <c r="F75" s="28">
        <v>568</v>
      </c>
      <c r="G75" s="28">
        <v>127</v>
      </c>
      <c r="H75" s="28">
        <v>84816</v>
      </c>
      <c r="I75" s="28">
        <v>84691</v>
      </c>
      <c r="J75" s="28">
        <v>100</v>
      </c>
      <c r="K75" s="28" t="s">
        <v>46</v>
      </c>
      <c r="L75" s="28" t="s">
        <v>15</v>
      </c>
      <c r="M75" s="31">
        <v>6.3749764195434822E-2</v>
      </c>
    </row>
    <row r="76" spans="1:13" x14ac:dyDescent="0.35">
      <c r="A76" s="26" t="s">
        <v>71</v>
      </c>
      <c r="B76" s="26" t="s">
        <v>30</v>
      </c>
      <c r="C76" s="27">
        <v>45634</v>
      </c>
      <c r="D76" s="26" t="s">
        <v>45</v>
      </c>
      <c r="E76" s="26">
        <v>2610</v>
      </c>
      <c r="F76" s="26">
        <v>126</v>
      </c>
      <c r="G76" s="26">
        <v>288</v>
      </c>
      <c r="H76" s="26">
        <v>15660</v>
      </c>
      <c r="I76" s="26">
        <v>15145</v>
      </c>
      <c r="J76" s="26">
        <v>73</v>
      </c>
      <c r="K76" s="26" t="s">
        <v>46</v>
      </c>
      <c r="L76" s="26" t="s">
        <v>56</v>
      </c>
      <c r="M76" s="30">
        <v>0.19310344827586207</v>
      </c>
    </row>
    <row r="77" spans="1:13" x14ac:dyDescent="0.35">
      <c r="A77" s="28" t="s">
        <v>205</v>
      </c>
      <c r="B77" s="28" t="s">
        <v>32</v>
      </c>
      <c r="C77" s="29">
        <v>45724</v>
      </c>
      <c r="D77" s="28" t="s">
        <v>54</v>
      </c>
      <c r="E77" s="28">
        <v>1292</v>
      </c>
      <c r="F77" s="28">
        <v>626</v>
      </c>
      <c r="G77" s="28">
        <v>496</v>
      </c>
      <c r="H77" s="28">
        <v>25840</v>
      </c>
      <c r="I77" s="28">
        <v>24916</v>
      </c>
      <c r="J77" s="28">
        <v>149</v>
      </c>
      <c r="K77" s="28" t="s">
        <v>154</v>
      </c>
      <c r="L77" s="28" t="s">
        <v>15</v>
      </c>
      <c r="M77" s="31">
        <v>9.3421052631578946E-2</v>
      </c>
    </row>
    <row r="78" spans="1:13" x14ac:dyDescent="0.35">
      <c r="A78" s="26" t="s">
        <v>206</v>
      </c>
      <c r="B78" s="26" t="s">
        <v>31</v>
      </c>
      <c r="C78" s="27">
        <v>45749</v>
      </c>
      <c r="D78" s="26" t="s">
        <v>58</v>
      </c>
      <c r="E78" s="26">
        <v>199</v>
      </c>
      <c r="F78" s="26">
        <v>772</v>
      </c>
      <c r="G78" s="26">
        <v>400</v>
      </c>
      <c r="H78" s="26">
        <v>3582</v>
      </c>
      <c r="I78" s="26">
        <v>2988</v>
      </c>
      <c r="J78" s="26">
        <v>43</v>
      </c>
      <c r="K78" s="26" t="s">
        <v>157</v>
      </c>
      <c r="L78" s="26" t="s">
        <v>56</v>
      </c>
      <c r="M78" s="30">
        <v>0.38274706867671698</v>
      </c>
    </row>
    <row r="79" spans="1:13" x14ac:dyDescent="0.35">
      <c r="A79" s="28" t="s">
        <v>207</v>
      </c>
      <c r="B79" s="28" t="s">
        <v>33</v>
      </c>
      <c r="C79" s="29">
        <v>45537</v>
      </c>
      <c r="D79" s="28" t="s">
        <v>52</v>
      </c>
      <c r="E79" s="28">
        <v>2551</v>
      </c>
      <c r="F79" s="28">
        <v>915</v>
      </c>
      <c r="G79" s="28">
        <v>205</v>
      </c>
      <c r="H79" s="28">
        <v>30612</v>
      </c>
      <c r="I79" s="28">
        <v>30360</v>
      </c>
      <c r="J79" s="28">
        <v>227</v>
      </c>
      <c r="K79" s="28" t="s">
        <v>157</v>
      </c>
      <c r="L79" s="28" t="s">
        <v>11</v>
      </c>
      <c r="M79" s="31">
        <v>0.1199202926956749</v>
      </c>
    </row>
    <row r="80" spans="1:13" x14ac:dyDescent="0.35">
      <c r="A80" s="26" t="s">
        <v>72</v>
      </c>
      <c r="B80" s="26" t="s">
        <v>33</v>
      </c>
      <c r="C80" s="27">
        <v>45719</v>
      </c>
      <c r="D80" s="26" t="s">
        <v>48</v>
      </c>
      <c r="E80" s="26">
        <v>296</v>
      </c>
      <c r="F80" s="26">
        <v>60</v>
      </c>
      <c r="G80" s="26">
        <v>141</v>
      </c>
      <c r="H80" s="26">
        <v>5624</v>
      </c>
      <c r="I80" s="26">
        <v>5239</v>
      </c>
      <c r="J80" s="26">
        <v>88</v>
      </c>
      <c r="K80" s="26" t="s">
        <v>46</v>
      </c>
      <c r="L80" s="26" t="s">
        <v>11</v>
      </c>
      <c r="M80" s="30">
        <v>8.837126600284495E-2</v>
      </c>
    </row>
    <row r="81" spans="1:13" x14ac:dyDescent="0.35">
      <c r="A81" s="28" t="s">
        <v>208</v>
      </c>
      <c r="B81" s="28" t="s">
        <v>31</v>
      </c>
      <c r="C81" s="29">
        <v>45583</v>
      </c>
      <c r="D81" s="28" t="s">
        <v>45</v>
      </c>
      <c r="E81" s="28">
        <v>4126</v>
      </c>
      <c r="F81" s="28">
        <v>426</v>
      </c>
      <c r="G81" s="28">
        <v>486</v>
      </c>
      <c r="H81" s="28">
        <v>78394</v>
      </c>
      <c r="I81" s="28">
        <v>77798</v>
      </c>
      <c r="J81" s="28">
        <v>88</v>
      </c>
      <c r="K81" s="28" t="s">
        <v>154</v>
      </c>
      <c r="L81" s="28" t="s">
        <v>19</v>
      </c>
      <c r="M81" s="31">
        <v>6.4265122330790625E-2</v>
      </c>
    </row>
    <row r="82" spans="1:13" x14ac:dyDescent="0.35">
      <c r="A82" s="26" t="s">
        <v>209</v>
      </c>
      <c r="B82" s="26" t="s">
        <v>33</v>
      </c>
      <c r="C82" s="27">
        <v>45593</v>
      </c>
      <c r="D82" s="26" t="s">
        <v>48</v>
      </c>
      <c r="E82" s="26">
        <v>1855</v>
      </c>
      <c r="F82" s="26">
        <v>200</v>
      </c>
      <c r="G82" s="26">
        <v>174</v>
      </c>
      <c r="H82" s="26">
        <v>16695</v>
      </c>
      <c r="I82" s="26">
        <v>16330</v>
      </c>
      <c r="J82" s="26">
        <v>123</v>
      </c>
      <c r="K82" s="26" t="s">
        <v>157</v>
      </c>
      <c r="L82" s="26" t="s">
        <v>15</v>
      </c>
      <c r="M82" s="30">
        <v>0.13351302785265048</v>
      </c>
    </row>
    <row r="83" spans="1:13" x14ac:dyDescent="0.35">
      <c r="A83" s="28" t="s">
        <v>210</v>
      </c>
      <c r="B83" s="28" t="s">
        <v>30</v>
      </c>
      <c r="C83" s="29">
        <v>45505</v>
      </c>
      <c r="D83" s="28" t="s">
        <v>48</v>
      </c>
      <c r="E83" s="28">
        <v>1674</v>
      </c>
      <c r="F83" s="28">
        <v>929</v>
      </c>
      <c r="G83" s="28">
        <v>37</v>
      </c>
      <c r="H83" s="28">
        <v>21762</v>
      </c>
      <c r="I83" s="28">
        <v>20998</v>
      </c>
      <c r="J83" s="28">
        <v>255</v>
      </c>
      <c r="K83" s="28" t="s">
        <v>157</v>
      </c>
      <c r="L83" s="28" t="s">
        <v>19</v>
      </c>
      <c r="M83" s="31">
        <v>0.12131237937689553</v>
      </c>
    </row>
    <row r="84" spans="1:13" x14ac:dyDescent="0.35">
      <c r="A84" s="26" t="s">
        <v>211</v>
      </c>
      <c r="B84" s="26" t="s">
        <v>32</v>
      </c>
      <c r="C84" s="27">
        <v>45603</v>
      </c>
      <c r="D84" s="26" t="s">
        <v>45</v>
      </c>
      <c r="E84" s="26">
        <v>1121</v>
      </c>
      <c r="F84" s="26">
        <v>135</v>
      </c>
      <c r="G84" s="26">
        <v>18</v>
      </c>
      <c r="H84" s="26">
        <v>15694</v>
      </c>
      <c r="I84" s="26">
        <v>14957</v>
      </c>
      <c r="J84" s="26">
        <v>99</v>
      </c>
      <c r="K84" s="26" t="s">
        <v>157</v>
      </c>
      <c r="L84" s="26" t="s">
        <v>19</v>
      </c>
      <c r="M84" s="30">
        <v>8.1177520071364848E-2</v>
      </c>
    </row>
    <row r="85" spans="1:13" x14ac:dyDescent="0.35">
      <c r="A85" s="28" t="s">
        <v>212</v>
      </c>
      <c r="B85" s="28" t="s">
        <v>31</v>
      </c>
      <c r="C85" s="29">
        <v>45720</v>
      </c>
      <c r="D85" s="28" t="s">
        <v>45</v>
      </c>
      <c r="E85" s="28">
        <v>1249</v>
      </c>
      <c r="F85" s="28">
        <v>116</v>
      </c>
      <c r="G85" s="28">
        <v>420</v>
      </c>
      <c r="H85" s="28">
        <v>8743</v>
      </c>
      <c r="I85" s="28">
        <v>8538</v>
      </c>
      <c r="J85" s="28">
        <v>63</v>
      </c>
      <c r="K85" s="28" t="s">
        <v>157</v>
      </c>
      <c r="L85" s="28" t="s">
        <v>56</v>
      </c>
      <c r="M85" s="31">
        <v>0.20416333066453163</v>
      </c>
    </row>
    <row r="86" spans="1:13" x14ac:dyDescent="0.35">
      <c r="A86" s="26" t="s">
        <v>213</v>
      </c>
      <c r="B86" s="26" t="s">
        <v>32</v>
      </c>
      <c r="C86" s="27">
        <v>45460</v>
      </c>
      <c r="D86" s="26" t="s">
        <v>50</v>
      </c>
      <c r="E86" s="26">
        <v>954</v>
      </c>
      <c r="F86" s="26">
        <v>324</v>
      </c>
      <c r="G86" s="26">
        <v>288</v>
      </c>
      <c r="H86" s="26">
        <v>19080</v>
      </c>
      <c r="I86" s="26">
        <v>18859</v>
      </c>
      <c r="J86" s="26">
        <v>21</v>
      </c>
      <c r="K86" s="26" t="s">
        <v>154</v>
      </c>
      <c r="L86" s="26" t="s">
        <v>19</v>
      </c>
      <c r="M86" s="30">
        <v>8.2075471698113203E-2</v>
      </c>
    </row>
    <row r="87" spans="1:13" x14ac:dyDescent="0.35">
      <c r="A87" s="28" t="s">
        <v>73</v>
      </c>
      <c r="B87" s="28" t="s">
        <v>30</v>
      </c>
      <c r="C87" s="29">
        <v>45574</v>
      </c>
      <c r="D87" s="28" t="s">
        <v>52</v>
      </c>
      <c r="E87" s="28">
        <v>3068</v>
      </c>
      <c r="F87" s="28">
        <v>137</v>
      </c>
      <c r="G87" s="28">
        <v>329</v>
      </c>
      <c r="H87" s="28">
        <v>39884</v>
      </c>
      <c r="I87" s="28">
        <v>39404</v>
      </c>
      <c r="J87" s="28">
        <v>266</v>
      </c>
      <c r="K87" s="28" t="s">
        <v>46</v>
      </c>
      <c r="L87" s="28" t="s">
        <v>11</v>
      </c>
      <c r="M87" s="31">
        <v>8.860696018453515E-2</v>
      </c>
    </row>
    <row r="88" spans="1:13" x14ac:dyDescent="0.35">
      <c r="A88" s="26" t="s">
        <v>214</v>
      </c>
      <c r="B88" s="26" t="s">
        <v>30</v>
      </c>
      <c r="C88" s="27">
        <v>45456</v>
      </c>
      <c r="D88" s="26" t="s">
        <v>45</v>
      </c>
      <c r="E88" s="26">
        <v>2103</v>
      </c>
      <c r="F88" s="26">
        <v>892</v>
      </c>
      <c r="G88" s="26">
        <v>103</v>
      </c>
      <c r="H88" s="26">
        <v>39957</v>
      </c>
      <c r="I88" s="26">
        <v>39466</v>
      </c>
      <c r="J88" s="26">
        <v>28</v>
      </c>
      <c r="K88" s="26" t="s">
        <v>154</v>
      </c>
      <c r="L88" s="26" t="s">
        <v>56</v>
      </c>
      <c r="M88" s="30">
        <v>7.7533348349475686E-2</v>
      </c>
    </row>
    <row r="89" spans="1:13" x14ac:dyDescent="0.35">
      <c r="A89" s="28" t="s">
        <v>215</v>
      </c>
      <c r="B89" s="28" t="s">
        <v>30</v>
      </c>
      <c r="C89" s="29">
        <v>45584</v>
      </c>
      <c r="D89" s="28" t="s">
        <v>45</v>
      </c>
      <c r="E89" s="28">
        <v>1816</v>
      </c>
      <c r="F89" s="28">
        <v>29</v>
      </c>
      <c r="G89" s="28">
        <v>41</v>
      </c>
      <c r="H89" s="28">
        <v>19976</v>
      </c>
      <c r="I89" s="28">
        <v>19262</v>
      </c>
      <c r="J89" s="28">
        <v>283</v>
      </c>
      <c r="K89" s="28" t="s">
        <v>157</v>
      </c>
      <c r="L89" s="28" t="s">
        <v>15</v>
      </c>
      <c r="M89" s="31">
        <v>9.4413295955146179E-2</v>
      </c>
    </row>
    <row r="90" spans="1:13" x14ac:dyDescent="0.35">
      <c r="A90" s="26" t="s">
        <v>216</v>
      </c>
      <c r="B90" s="26" t="s">
        <v>30</v>
      </c>
      <c r="C90" s="27">
        <v>45497</v>
      </c>
      <c r="D90" s="26" t="s">
        <v>50</v>
      </c>
      <c r="E90" s="26">
        <v>725</v>
      </c>
      <c r="F90" s="26">
        <v>88</v>
      </c>
      <c r="G90" s="26">
        <v>428</v>
      </c>
      <c r="H90" s="26">
        <v>14500</v>
      </c>
      <c r="I90" s="26">
        <v>13637</v>
      </c>
      <c r="J90" s="26">
        <v>200</v>
      </c>
      <c r="K90" s="26" t="s">
        <v>154</v>
      </c>
      <c r="L90" s="26" t="s">
        <v>15</v>
      </c>
      <c r="M90" s="30">
        <v>8.558620689655172E-2</v>
      </c>
    </row>
    <row r="91" spans="1:13" x14ac:dyDescent="0.35">
      <c r="A91" s="28" t="s">
        <v>216</v>
      </c>
      <c r="B91" s="28" t="s">
        <v>30</v>
      </c>
      <c r="C91" s="29">
        <v>45497</v>
      </c>
      <c r="D91" s="28" t="s">
        <v>50</v>
      </c>
      <c r="E91" s="28">
        <v>725</v>
      </c>
      <c r="F91" s="28">
        <v>88</v>
      </c>
      <c r="G91" s="28">
        <v>428</v>
      </c>
      <c r="H91" s="28">
        <v>14500</v>
      </c>
      <c r="I91" s="28">
        <v>13637</v>
      </c>
      <c r="J91" s="28">
        <v>200</v>
      </c>
      <c r="K91" s="28" t="s">
        <v>157</v>
      </c>
      <c r="L91" s="28" t="s">
        <v>15</v>
      </c>
      <c r="M91" s="31">
        <v>8.558620689655172E-2</v>
      </c>
    </row>
    <row r="92" spans="1:13" x14ac:dyDescent="0.35">
      <c r="A92" s="26" t="s">
        <v>216</v>
      </c>
      <c r="B92" s="26" t="s">
        <v>30</v>
      </c>
      <c r="C92" s="27">
        <v>45497</v>
      </c>
      <c r="D92" s="26" t="s">
        <v>50</v>
      </c>
      <c r="E92" s="26">
        <v>725</v>
      </c>
      <c r="F92" s="26">
        <v>88</v>
      </c>
      <c r="G92" s="26">
        <v>428</v>
      </c>
      <c r="H92" s="26">
        <v>14500</v>
      </c>
      <c r="I92" s="26">
        <v>13637</v>
      </c>
      <c r="J92" s="26">
        <v>200</v>
      </c>
      <c r="K92" s="26" t="s">
        <v>155</v>
      </c>
      <c r="L92" s="26" t="s">
        <v>15</v>
      </c>
      <c r="M92" s="30">
        <v>8.558620689655172E-2</v>
      </c>
    </row>
    <row r="93" spans="1:13" x14ac:dyDescent="0.35">
      <c r="A93" s="28" t="s">
        <v>74</v>
      </c>
      <c r="B93" s="28" t="s">
        <v>33</v>
      </c>
      <c r="C93" s="29">
        <v>45580</v>
      </c>
      <c r="D93" s="28" t="s">
        <v>58</v>
      </c>
      <c r="E93" s="28">
        <v>1094</v>
      </c>
      <c r="F93" s="28">
        <v>472</v>
      </c>
      <c r="G93" s="28">
        <v>21</v>
      </c>
      <c r="H93" s="28">
        <v>9846</v>
      </c>
      <c r="I93" s="28">
        <v>9609</v>
      </c>
      <c r="J93" s="28">
        <v>112</v>
      </c>
      <c r="K93" s="28" t="s">
        <v>46</v>
      </c>
      <c r="L93" s="28" t="s">
        <v>56</v>
      </c>
      <c r="M93" s="31">
        <v>0.16118220597196831</v>
      </c>
    </row>
    <row r="94" spans="1:13" x14ac:dyDescent="0.35">
      <c r="A94" s="26" t="s">
        <v>217</v>
      </c>
      <c r="B94" s="26" t="s">
        <v>31</v>
      </c>
      <c r="C94" s="27">
        <v>45635</v>
      </c>
      <c r="D94" s="26" t="s">
        <v>50</v>
      </c>
      <c r="E94" s="26">
        <v>1841</v>
      </c>
      <c r="F94" s="26">
        <v>851</v>
      </c>
      <c r="G94" s="26">
        <v>342</v>
      </c>
      <c r="H94" s="26">
        <v>34979</v>
      </c>
      <c r="I94" s="26">
        <v>34154</v>
      </c>
      <c r="J94" s="26">
        <v>255</v>
      </c>
      <c r="K94" s="26" t="s">
        <v>154</v>
      </c>
      <c r="L94" s="26" t="s">
        <v>19</v>
      </c>
      <c r="M94" s="30">
        <v>8.6737756939878202E-2</v>
      </c>
    </row>
    <row r="95" spans="1:13" x14ac:dyDescent="0.35">
      <c r="A95" s="28" t="s">
        <v>218</v>
      </c>
      <c r="B95" s="28" t="s">
        <v>30</v>
      </c>
      <c r="C95" s="29">
        <v>45766</v>
      </c>
      <c r="D95" s="28" t="s">
        <v>50</v>
      </c>
      <c r="E95" s="28">
        <v>4177</v>
      </c>
      <c r="F95" s="28">
        <v>569</v>
      </c>
      <c r="G95" s="28">
        <v>55</v>
      </c>
      <c r="H95" s="28">
        <v>25062</v>
      </c>
      <c r="I95" s="28">
        <v>24847</v>
      </c>
      <c r="J95" s="28">
        <v>230</v>
      </c>
      <c r="K95" s="28" t="s">
        <v>154</v>
      </c>
      <c r="L95" s="28" t="s">
        <v>7</v>
      </c>
      <c r="M95" s="31">
        <v>0.19156491900087785</v>
      </c>
    </row>
    <row r="96" spans="1:13" x14ac:dyDescent="0.35">
      <c r="A96" s="26" t="s">
        <v>75</v>
      </c>
      <c r="B96" s="26" t="s">
        <v>33</v>
      </c>
      <c r="C96" s="27">
        <v>45684</v>
      </c>
      <c r="D96" s="26" t="s">
        <v>54</v>
      </c>
      <c r="E96" s="26">
        <v>3428</v>
      </c>
      <c r="F96" s="26">
        <v>305</v>
      </c>
      <c r="G96" s="26">
        <v>85</v>
      </c>
      <c r="H96" s="26">
        <v>58276</v>
      </c>
      <c r="I96" s="26">
        <v>58052</v>
      </c>
      <c r="J96" s="26">
        <v>242</v>
      </c>
      <c r="K96" s="26" t="s">
        <v>46</v>
      </c>
      <c r="L96" s="26" t="s">
        <v>19</v>
      </c>
      <c r="M96" s="30">
        <v>6.5515821264328367E-2</v>
      </c>
    </row>
    <row r="97" spans="1:13" x14ac:dyDescent="0.35">
      <c r="A97" s="28" t="s">
        <v>75</v>
      </c>
      <c r="B97" s="28" t="s">
        <v>33</v>
      </c>
      <c r="C97" s="29">
        <v>45684</v>
      </c>
      <c r="D97" s="28" t="s">
        <v>54</v>
      </c>
      <c r="E97" s="28">
        <v>3428</v>
      </c>
      <c r="F97" s="28">
        <v>305</v>
      </c>
      <c r="G97" s="28">
        <v>85</v>
      </c>
      <c r="H97" s="28">
        <v>58276</v>
      </c>
      <c r="I97" s="28">
        <v>58052</v>
      </c>
      <c r="J97" s="28">
        <v>242</v>
      </c>
      <c r="K97" s="28" t="s">
        <v>158</v>
      </c>
      <c r="L97" s="28" t="s">
        <v>19</v>
      </c>
      <c r="M97" s="31">
        <v>6.5515821264328367E-2</v>
      </c>
    </row>
    <row r="98" spans="1:13" x14ac:dyDescent="0.35">
      <c r="A98" s="26" t="s">
        <v>219</v>
      </c>
      <c r="B98" s="26" t="s">
        <v>32</v>
      </c>
      <c r="C98" s="27">
        <v>45449</v>
      </c>
      <c r="D98" s="26" t="s">
        <v>58</v>
      </c>
      <c r="E98" s="26">
        <v>1436</v>
      </c>
      <c r="F98" s="26">
        <v>765</v>
      </c>
      <c r="G98" s="26">
        <v>496</v>
      </c>
      <c r="H98" s="26">
        <v>12924</v>
      </c>
      <c r="I98" s="26">
        <v>12701</v>
      </c>
      <c r="J98" s="26">
        <v>197</v>
      </c>
      <c r="K98" s="26" t="s">
        <v>154</v>
      </c>
      <c r="L98" s="26" t="s">
        <v>15</v>
      </c>
      <c r="M98" s="30">
        <v>0.20868152274837512</v>
      </c>
    </row>
    <row r="99" spans="1:13" x14ac:dyDescent="0.35">
      <c r="A99" s="28" t="s">
        <v>220</v>
      </c>
      <c r="B99" s="28" t="s">
        <v>31</v>
      </c>
      <c r="C99" s="29">
        <v>45480</v>
      </c>
      <c r="D99" s="28" t="s">
        <v>45</v>
      </c>
      <c r="E99" s="28">
        <v>302</v>
      </c>
      <c r="F99" s="28">
        <v>47</v>
      </c>
      <c r="G99" s="28">
        <v>430</v>
      </c>
      <c r="H99" s="28">
        <v>5738</v>
      </c>
      <c r="I99" s="28">
        <v>4890</v>
      </c>
      <c r="J99" s="28">
        <v>25</v>
      </c>
      <c r="K99" s="28" t="s">
        <v>157</v>
      </c>
      <c r="L99" s="28" t="s">
        <v>19</v>
      </c>
      <c r="M99" s="31">
        <v>0.13576158940397351</v>
      </c>
    </row>
    <row r="100" spans="1:13" x14ac:dyDescent="0.35">
      <c r="A100" s="26" t="s">
        <v>76</v>
      </c>
      <c r="B100" s="26" t="s">
        <v>32</v>
      </c>
      <c r="C100" s="27">
        <v>45667</v>
      </c>
      <c r="D100" s="26" t="s">
        <v>50</v>
      </c>
      <c r="E100" s="26">
        <v>2214</v>
      </c>
      <c r="F100" s="26">
        <v>249</v>
      </c>
      <c r="G100" s="26">
        <v>152</v>
      </c>
      <c r="H100" s="26">
        <v>15498</v>
      </c>
      <c r="I100" s="26">
        <v>14800</v>
      </c>
      <c r="J100" s="26">
        <v>180</v>
      </c>
      <c r="K100" s="26" t="s">
        <v>46</v>
      </c>
      <c r="L100" s="26" t="s">
        <v>56</v>
      </c>
      <c r="M100" s="30">
        <v>0.16873144921925409</v>
      </c>
    </row>
    <row r="101" spans="1:13" x14ac:dyDescent="0.35">
      <c r="A101" s="28" t="s">
        <v>221</v>
      </c>
      <c r="B101" s="28" t="s">
        <v>30</v>
      </c>
      <c r="C101" s="29">
        <v>45446</v>
      </c>
      <c r="D101" s="28" t="s">
        <v>50</v>
      </c>
      <c r="E101" s="28">
        <v>3861</v>
      </c>
      <c r="F101" s="28">
        <v>960</v>
      </c>
      <c r="G101" s="28">
        <v>101</v>
      </c>
      <c r="H101" s="28">
        <v>69498</v>
      </c>
      <c r="I101" s="28">
        <v>68817</v>
      </c>
      <c r="J101" s="28">
        <v>297</v>
      </c>
      <c r="K101" s="28" t="s">
        <v>157</v>
      </c>
      <c r="L101" s="28" t="s">
        <v>19</v>
      </c>
      <c r="M101" s="31">
        <v>7.0822181933293038E-2</v>
      </c>
    </row>
    <row r="102" spans="1:13" x14ac:dyDescent="0.35">
      <c r="A102" s="26" t="s">
        <v>77</v>
      </c>
      <c r="B102" s="26" t="s">
        <v>31</v>
      </c>
      <c r="C102" s="27">
        <v>45740</v>
      </c>
      <c r="D102" s="26" t="s">
        <v>50</v>
      </c>
      <c r="E102" s="26">
        <v>1263</v>
      </c>
      <c r="F102" s="26">
        <v>397</v>
      </c>
      <c r="G102" s="26">
        <v>357</v>
      </c>
      <c r="H102" s="26">
        <v>25260</v>
      </c>
      <c r="I102" s="26">
        <v>24615</v>
      </c>
      <c r="J102" s="26">
        <v>137</v>
      </c>
      <c r="K102" s="26" t="s">
        <v>46</v>
      </c>
      <c r="L102" s="26" t="s">
        <v>19</v>
      </c>
      <c r="M102" s="30">
        <v>7.984956452889945E-2</v>
      </c>
    </row>
    <row r="103" spans="1:13" x14ac:dyDescent="0.35">
      <c r="A103" s="28" t="s">
        <v>222</v>
      </c>
      <c r="B103" s="28" t="s">
        <v>32</v>
      </c>
      <c r="C103" s="29">
        <v>45586</v>
      </c>
      <c r="D103" s="28" t="s">
        <v>45</v>
      </c>
      <c r="E103" s="28">
        <v>3801</v>
      </c>
      <c r="F103" s="28">
        <v>967</v>
      </c>
      <c r="G103" s="28">
        <v>401</v>
      </c>
      <c r="H103" s="28">
        <v>38010</v>
      </c>
      <c r="I103" s="28">
        <v>37625</v>
      </c>
      <c r="J103" s="28">
        <v>236</v>
      </c>
      <c r="K103" s="28" t="s">
        <v>154</v>
      </c>
      <c r="L103" s="28" t="s">
        <v>15</v>
      </c>
      <c r="M103" s="31">
        <v>0.13599052880820836</v>
      </c>
    </row>
    <row r="104" spans="1:13" x14ac:dyDescent="0.35">
      <c r="A104" s="26" t="s">
        <v>78</v>
      </c>
      <c r="B104" s="26" t="s">
        <v>30</v>
      </c>
      <c r="C104" s="27">
        <v>45637</v>
      </c>
      <c r="D104" s="26" t="s">
        <v>58</v>
      </c>
      <c r="E104" s="26">
        <v>1431</v>
      </c>
      <c r="F104" s="26">
        <v>951</v>
      </c>
      <c r="G104" s="26">
        <v>26</v>
      </c>
      <c r="H104" s="26">
        <v>8586</v>
      </c>
      <c r="I104" s="26">
        <v>8396</v>
      </c>
      <c r="J104" s="26">
        <v>150</v>
      </c>
      <c r="K104" s="26" t="s">
        <v>46</v>
      </c>
      <c r="L104" s="26" t="s">
        <v>15</v>
      </c>
      <c r="M104" s="30">
        <v>0.28045655718611695</v>
      </c>
    </row>
    <row r="105" spans="1:13" x14ac:dyDescent="0.35">
      <c r="A105" s="28" t="s">
        <v>223</v>
      </c>
      <c r="B105" s="28" t="s">
        <v>30</v>
      </c>
      <c r="C105" s="29">
        <v>45603</v>
      </c>
      <c r="D105" s="28" t="s">
        <v>50</v>
      </c>
      <c r="E105" s="28">
        <v>2647</v>
      </c>
      <c r="F105" s="28">
        <v>304</v>
      </c>
      <c r="G105" s="28">
        <v>170</v>
      </c>
      <c r="H105" s="28">
        <v>18529</v>
      </c>
      <c r="I105" s="28">
        <v>17841</v>
      </c>
      <c r="J105" s="28">
        <v>46</v>
      </c>
      <c r="K105" s="28" t="s">
        <v>154</v>
      </c>
      <c r="L105" s="28" t="s">
        <v>15</v>
      </c>
      <c r="M105" s="31">
        <v>0.16843866371633656</v>
      </c>
    </row>
    <row r="106" spans="1:13" x14ac:dyDescent="0.35">
      <c r="A106" s="26" t="s">
        <v>224</v>
      </c>
      <c r="B106" s="26" t="s">
        <v>30</v>
      </c>
      <c r="C106" s="27">
        <v>45604</v>
      </c>
      <c r="D106" s="26" t="s">
        <v>54</v>
      </c>
      <c r="E106" s="26">
        <v>3182</v>
      </c>
      <c r="F106" s="26">
        <v>559</v>
      </c>
      <c r="G106" s="26">
        <v>160</v>
      </c>
      <c r="H106" s="26">
        <v>57276</v>
      </c>
      <c r="I106" s="26">
        <v>56890</v>
      </c>
      <c r="J106" s="26">
        <v>163</v>
      </c>
      <c r="K106" s="26" t="s">
        <v>154</v>
      </c>
      <c r="L106" s="26" t="s">
        <v>19</v>
      </c>
      <c r="M106" s="30">
        <v>6.8108806480899509E-2</v>
      </c>
    </row>
    <row r="107" spans="1:13" x14ac:dyDescent="0.35">
      <c r="A107" s="28" t="s">
        <v>225</v>
      </c>
      <c r="B107" s="28" t="s">
        <v>32</v>
      </c>
      <c r="C107" s="29">
        <v>45545</v>
      </c>
      <c r="D107" s="28" t="s">
        <v>50</v>
      </c>
      <c r="E107" s="28">
        <v>1238</v>
      </c>
      <c r="F107" s="28">
        <v>366</v>
      </c>
      <c r="G107" s="28">
        <v>444</v>
      </c>
      <c r="H107" s="28">
        <v>19808</v>
      </c>
      <c r="I107" s="28">
        <v>19334</v>
      </c>
      <c r="J107" s="28">
        <v>123</v>
      </c>
      <c r="K107" s="28" t="s">
        <v>154</v>
      </c>
      <c r="L107" s="28" t="s">
        <v>56</v>
      </c>
      <c r="M107" s="31">
        <v>0.10339256865912765</v>
      </c>
    </row>
    <row r="108" spans="1:13" x14ac:dyDescent="0.35">
      <c r="A108" s="26" t="s">
        <v>226</v>
      </c>
      <c r="B108" s="26" t="s">
        <v>30</v>
      </c>
      <c r="C108" s="27">
        <v>45517</v>
      </c>
      <c r="D108" s="26" t="s">
        <v>50</v>
      </c>
      <c r="E108" s="26">
        <v>4739</v>
      </c>
      <c r="F108" s="26">
        <v>527</v>
      </c>
      <c r="G108" s="26">
        <v>135</v>
      </c>
      <c r="H108" s="26">
        <v>61607</v>
      </c>
      <c r="I108" s="26">
        <v>61333</v>
      </c>
      <c r="J108" s="26">
        <v>36</v>
      </c>
      <c r="K108" s="26" t="s">
        <v>157</v>
      </c>
      <c r="L108" s="26" t="s">
        <v>11</v>
      </c>
      <c r="M108" s="30">
        <v>8.7668609086629753E-2</v>
      </c>
    </row>
    <row r="109" spans="1:13" x14ac:dyDescent="0.35">
      <c r="A109" s="28" t="s">
        <v>226</v>
      </c>
      <c r="B109" s="28" t="s">
        <v>30</v>
      </c>
      <c r="C109" s="29">
        <v>45517</v>
      </c>
      <c r="D109" s="28" t="s">
        <v>50</v>
      </c>
      <c r="E109" s="28">
        <v>4739</v>
      </c>
      <c r="F109" s="28">
        <v>527</v>
      </c>
      <c r="G109" s="28">
        <v>135</v>
      </c>
      <c r="H109" s="28">
        <v>61607</v>
      </c>
      <c r="I109" s="28">
        <v>61333</v>
      </c>
      <c r="J109" s="28">
        <v>36</v>
      </c>
      <c r="K109" s="28" t="s">
        <v>155</v>
      </c>
      <c r="L109" s="28" t="s">
        <v>11</v>
      </c>
      <c r="M109" s="31">
        <v>8.7668609086629753E-2</v>
      </c>
    </row>
    <row r="110" spans="1:13" x14ac:dyDescent="0.35">
      <c r="A110" s="26" t="s">
        <v>227</v>
      </c>
      <c r="B110" s="26" t="s">
        <v>32</v>
      </c>
      <c r="C110" s="27">
        <v>45453</v>
      </c>
      <c r="D110" s="26" t="s">
        <v>45</v>
      </c>
      <c r="E110" s="26">
        <v>1575</v>
      </c>
      <c r="F110" s="26">
        <v>771</v>
      </c>
      <c r="G110" s="26">
        <v>486</v>
      </c>
      <c r="H110" s="26">
        <v>25200</v>
      </c>
      <c r="I110" s="26">
        <v>24826</v>
      </c>
      <c r="J110" s="26">
        <v>17</v>
      </c>
      <c r="K110" s="26" t="s">
        <v>154</v>
      </c>
      <c r="L110" s="26" t="s">
        <v>19</v>
      </c>
      <c r="M110" s="30">
        <v>0.1123809523809524</v>
      </c>
    </row>
    <row r="111" spans="1:13" x14ac:dyDescent="0.35">
      <c r="A111" s="28" t="s">
        <v>228</v>
      </c>
      <c r="B111" s="28" t="s">
        <v>33</v>
      </c>
      <c r="C111" s="29">
        <v>45475</v>
      </c>
      <c r="D111" s="28" t="s">
        <v>52</v>
      </c>
      <c r="E111" s="28">
        <v>4171</v>
      </c>
      <c r="F111" s="28">
        <v>548</v>
      </c>
      <c r="G111" s="28">
        <v>86</v>
      </c>
      <c r="H111" s="28">
        <v>66736</v>
      </c>
      <c r="I111" s="28">
        <v>66634</v>
      </c>
      <c r="J111" s="28">
        <v>173</v>
      </c>
      <c r="K111" s="28" t="s">
        <v>154</v>
      </c>
      <c r="L111" s="28" t="s">
        <v>15</v>
      </c>
      <c r="M111" s="31">
        <v>7.2000119875329657E-2</v>
      </c>
    </row>
    <row r="112" spans="1:13" x14ac:dyDescent="0.35">
      <c r="A112" s="26" t="s">
        <v>79</v>
      </c>
      <c r="B112" s="26" t="s">
        <v>33</v>
      </c>
      <c r="C112" s="27">
        <v>45698</v>
      </c>
      <c r="D112" s="26" t="s">
        <v>58</v>
      </c>
      <c r="E112" s="26">
        <v>1766</v>
      </c>
      <c r="F112" s="26">
        <v>92</v>
      </c>
      <c r="G112" s="26">
        <v>424</v>
      </c>
      <c r="H112" s="26">
        <v>24724</v>
      </c>
      <c r="I112" s="26">
        <v>24333</v>
      </c>
      <c r="J112" s="26">
        <v>52</v>
      </c>
      <c r="K112" s="26" t="s">
        <v>46</v>
      </c>
      <c r="L112" s="26" t="s">
        <v>56</v>
      </c>
      <c r="M112" s="30">
        <v>9.2298980747451867E-2</v>
      </c>
    </row>
    <row r="113" spans="1:13" x14ac:dyDescent="0.35">
      <c r="A113" s="28" t="s">
        <v>229</v>
      </c>
      <c r="B113" s="28" t="s">
        <v>33</v>
      </c>
      <c r="C113" s="29">
        <v>45583</v>
      </c>
      <c r="D113" s="28" t="s">
        <v>58</v>
      </c>
      <c r="E113" s="28">
        <v>4450</v>
      </c>
      <c r="F113" s="28">
        <v>983</v>
      </c>
      <c r="G113" s="28">
        <v>143</v>
      </c>
      <c r="H113" s="28">
        <v>75650</v>
      </c>
      <c r="I113" s="28">
        <v>75008</v>
      </c>
      <c r="J113" s="28">
        <v>12</v>
      </c>
      <c r="K113" s="28" t="s">
        <v>154</v>
      </c>
      <c r="L113" s="28" t="s">
        <v>15</v>
      </c>
      <c r="M113" s="31">
        <v>7.3707865168539333E-2</v>
      </c>
    </row>
    <row r="114" spans="1:13" x14ac:dyDescent="0.35">
      <c r="A114" s="26" t="s">
        <v>80</v>
      </c>
      <c r="B114" s="26" t="s">
        <v>32</v>
      </c>
      <c r="C114" s="27">
        <v>45553</v>
      </c>
      <c r="D114" s="26" t="s">
        <v>48</v>
      </c>
      <c r="E114" s="26">
        <v>1000</v>
      </c>
      <c r="F114" s="26">
        <v>978</v>
      </c>
      <c r="G114" s="26">
        <v>162</v>
      </c>
      <c r="H114" s="26">
        <v>6000</v>
      </c>
      <c r="I114" s="26">
        <v>5221</v>
      </c>
      <c r="J114" s="26">
        <v>223</v>
      </c>
      <c r="K114" s="26" t="s">
        <v>46</v>
      </c>
      <c r="L114" s="26" t="s">
        <v>11</v>
      </c>
      <c r="M114" s="30">
        <v>0.35666666666666669</v>
      </c>
    </row>
    <row r="115" spans="1:13" x14ac:dyDescent="0.35">
      <c r="A115" s="28" t="s">
        <v>81</v>
      </c>
      <c r="B115" s="28" t="s">
        <v>31</v>
      </c>
      <c r="C115" s="29">
        <v>45454</v>
      </c>
      <c r="D115" s="28" t="s">
        <v>50</v>
      </c>
      <c r="E115" s="28">
        <v>3689</v>
      </c>
      <c r="F115" s="28">
        <v>48</v>
      </c>
      <c r="G115" s="28">
        <v>306</v>
      </c>
      <c r="H115" s="28">
        <v>40579</v>
      </c>
      <c r="I115" s="28">
        <v>39588</v>
      </c>
      <c r="J115" s="28">
        <v>212</v>
      </c>
      <c r="K115" s="28" t="s">
        <v>46</v>
      </c>
      <c r="L115" s="28" t="s">
        <v>11</v>
      </c>
      <c r="M115" s="31">
        <v>9.9632815002833983E-2</v>
      </c>
    </row>
    <row r="116" spans="1:13" x14ac:dyDescent="0.35">
      <c r="A116" s="26" t="s">
        <v>230</v>
      </c>
      <c r="B116" s="26" t="s">
        <v>33</v>
      </c>
      <c r="C116" s="27">
        <v>45739</v>
      </c>
      <c r="D116" s="26" t="s">
        <v>45</v>
      </c>
      <c r="E116" s="26">
        <v>3655</v>
      </c>
      <c r="F116" s="26">
        <v>568</v>
      </c>
      <c r="G116" s="26">
        <v>286</v>
      </c>
      <c r="H116" s="26">
        <v>32895</v>
      </c>
      <c r="I116" s="26">
        <v>32015</v>
      </c>
      <c r="J116" s="26">
        <v>199</v>
      </c>
      <c r="K116" s="26" t="s">
        <v>157</v>
      </c>
      <c r="L116" s="26" t="s">
        <v>15</v>
      </c>
      <c r="M116" s="30">
        <v>0.13707250341997265</v>
      </c>
    </row>
    <row r="117" spans="1:13" x14ac:dyDescent="0.35">
      <c r="A117" s="28" t="s">
        <v>231</v>
      </c>
      <c r="B117" s="28" t="s">
        <v>30</v>
      </c>
      <c r="C117" s="29">
        <v>45457</v>
      </c>
      <c r="D117" s="28" t="s">
        <v>52</v>
      </c>
      <c r="E117" s="28">
        <v>498</v>
      </c>
      <c r="F117" s="28">
        <v>38</v>
      </c>
      <c r="G117" s="28">
        <v>42</v>
      </c>
      <c r="H117" s="28">
        <v>4482</v>
      </c>
      <c r="I117" s="28">
        <v>3647</v>
      </c>
      <c r="J117" s="28">
        <v>32</v>
      </c>
      <c r="K117" s="28" t="s">
        <v>154</v>
      </c>
      <c r="L117" s="28" t="s">
        <v>7</v>
      </c>
      <c r="M117" s="31">
        <v>0.12896028558679162</v>
      </c>
    </row>
    <row r="118" spans="1:13" x14ac:dyDescent="0.35">
      <c r="A118" s="26" t="s">
        <v>232</v>
      </c>
      <c r="B118" s="26" t="s">
        <v>30</v>
      </c>
      <c r="C118" s="27">
        <v>45692</v>
      </c>
      <c r="D118" s="26" t="s">
        <v>50</v>
      </c>
      <c r="E118" s="26">
        <v>4619</v>
      </c>
      <c r="F118" s="26">
        <v>821</v>
      </c>
      <c r="G118" s="26">
        <v>499</v>
      </c>
      <c r="H118" s="26">
        <v>69285</v>
      </c>
      <c r="I118" s="26">
        <v>69141</v>
      </c>
      <c r="J118" s="26">
        <v>298</v>
      </c>
      <c r="K118" s="26" t="s">
        <v>157</v>
      </c>
      <c r="L118" s="26" t="s">
        <v>19</v>
      </c>
      <c r="M118" s="30">
        <v>8.5718409468138843E-2</v>
      </c>
    </row>
    <row r="119" spans="1:13" x14ac:dyDescent="0.35">
      <c r="A119" s="28" t="s">
        <v>233</v>
      </c>
      <c r="B119" s="28" t="s">
        <v>33</v>
      </c>
      <c r="C119" s="29">
        <v>45464</v>
      </c>
      <c r="D119" s="28" t="s">
        <v>50</v>
      </c>
      <c r="E119" s="28">
        <v>4832</v>
      </c>
      <c r="F119" s="28">
        <v>893</v>
      </c>
      <c r="G119" s="28">
        <v>10</v>
      </c>
      <c r="H119" s="28">
        <v>91808</v>
      </c>
      <c r="I119" s="28">
        <v>91296</v>
      </c>
      <c r="J119" s="28">
        <v>182</v>
      </c>
      <c r="K119" s="28" t="s">
        <v>157</v>
      </c>
      <c r="L119" s="28" t="s">
        <v>56</v>
      </c>
      <c r="M119" s="31">
        <v>6.2467323109097243E-2</v>
      </c>
    </row>
    <row r="120" spans="1:13" x14ac:dyDescent="0.35">
      <c r="A120" s="26" t="s">
        <v>234</v>
      </c>
      <c r="B120" s="26" t="s">
        <v>32</v>
      </c>
      <c r="C120" s="27">
        <v>45741</v>
      </c>
      <c r="D120" s="26" t="s">
        <v>58</v>
      </c>
      <c r="E120" s="26">
        <v>4050</v>
      </c>
      <c r="F120" s="26">
        <v>871</v>
      </c>
      <c r="G120" s="26">
        <v>347</v>
      </c>
      <c r="H120" s="26">
        <v>52650</v>
      </c>
      <c r="I120" s="26">
        <v>51755</v>
      </c>
      <c r="J120" s="26">
        <v>209</v>
      </c>
      <c r="K120" s="26" t="s">
        <v>157</v>
      </c>
      <c r="L120" s="26" t="s">
        <v>11</v>
      </c>
      <c r="M120" s="30">
        <v>0.10005698005698006</v>
      </c>
    </row>
    <row r="121" spans="1:13" x14ac:dyDescent="0.35">
      <c r="A121" s="28" t="s">
        <v>235</v>
      </c>
      <c r="B121" s="28" t="s">
        <v>32</v>
      </c>
      <c r="C121" s="29">
        <v>45512</v>
      </c>
      <c r="D121" s="28" t="s">
        <v>45</v>
      </c>
      <c r="E121" s="28">
        <v>3649</v>
      </c>
      <c r="F121" s="28">
        <v>215</v>
      </c>
      <c r="G121" s="28">
        <v>413</v>
      </c>
      <c r="H121" s="28">
        <v>25543</v>
      </c>
      <c r="I121" s="28">
        <v>24963</v>
      </c>
      <c r="J121" s="28">
        <v>167</v>
      </c>
      <c r="K121" s="28" t="s">
        <v>154</v>
      </c>
      <c r="L121" s="28" t="s">
        <v>15</v>
      </c>
      <c r="M121" s="31">
        <v>0.16744313510550837</v>
      </c>
    </row>
    <row r="122" spans="1:13" x14ac:dyDescent="0.35">
      <c r="A122" s="26" t="s">
        <v>82</v>
      </c>
      <c r="B122" s="26" t="s">
        <v>30</v>
      </c>
      <c r="C122" s="27">
        <v>45502</v>
      </c>
      <c r="D122" s="26" t="s">
        <v>48</v>
      </c>
      <c r="E122" s="26">
        <v>3523</v>
      </c>
      <c r="F122" s="26">
        <v>753</v>
      </c>
      <c r="G122" s="26">
        <v>482</v>
      </c>
      <c r="H122" s="26">
        <v>38753</v>
      </c>
      <c r="I122" s="26">
        <v>38579</v>
      </c>
      <c r="J122" s="26">
        <v>270</v>
      </c>
      <c r="K122" s="26" t="s">
        <v>46</v>
      </c>
      <c r="L122" s="26" t="s">
        <v>11</v>
      </c>
      <c r="M122" s="30">
        <v>0.12277759141227776</v>
      </c>
    </row>
    <row r="123" spans="1:13" x14ac:dyDescent="0.35">
      <c r="A123" s="28" t="s">
        <v>236</v>
      </c>
      <c r="B123" s="28" t="s">
        <v>33</v>
      </c>
      <c r="C123" s="29">
        <v>45619</v>
      </c>
      <c r="D123" s="28" t="s">
        <v>50</v>
      </c>
      <c r="E123" s="28">
        <v>2719</v>
      </c>
      <c r="F123" s="28">
        <v>17</v>
      </c>
      <c r="G123" s="28">
        <v>285</v>
      </c>
      <c r="H123" s="28">
        <v>40785</v>
      </c>
      <c r="I123" s="28">
        <v>40281</v>
      </c>
      <c r="J123" s="28">
        <v>40</v>
      </c>
      <c r="K123" s="28" t="s">
        <v>157</v>
      </c>
      <c r="L123" s="28" t="s">
        <v>11</v>
      </c>
      <c r="M123" s="31">
        <v>7.4071349760941527E-2</v>
      </c>
    </row>
    <row r="124" spans="1:13" x14ac:dyDescent="0.35">
      <c r="A124" s="26" t="s">
        <v>237</v>
      </c>
      <c r="B124" s="26" t="s">
        <v>32</v>
      </c>
      <c r="C124" s="27">
        <v>45570</v>
      </c>
      <c r="D124" s="26" t="s">
        <v>45</v>
      </c>
      <c r="E124" s="26">
        <v>1957</v>
      </c>
      <c r="F124" s="26">
        <v>877</v>
      </c>
      <c r="G124" s="26">
        <v>238</v>
      </c>
      <c r="H124" s="26">
        <v>17613</v>
      </c>
      <c r="I124" s="26">
        <v>16865</v>
      </c>
      <c r="J124" s="26">
        <v>297</v>
      </c>
      <c r="K124" s="26" t="s">
        <v>154</v>
      </c>
      <c r="L124" s="26" t="s">
        <v>15</v>
      </c>
      <c r="M124" s="30">
        <v>0.17441662408448305</v>
      </c>
    </row>
    <row r="125" spans="1:13" x14ac:dyDescent="0.35">
      <c r="A125" s="28" t="s">
        <v>83</v>
      </c>
      <c r="B125" s="28" t="s">
        <v>32</v>
      </c>
      <c r="C125" s="29">
        <v>45567</v>
      </c>
      <c r="D125" s="28" t="s">
        <v>52</v>
      </c>
      <c r="E125" s="28">
        <v>4419</v>
      </c>
      <c r="F125" s="28">
        <v>236</v>
      </c>
      <c r="G125" s="28">
        <v>369</v>
      </c>
      <c r="H125" s="28">
        <v>44190</v>
      </c>
      <c r="I125" s="28">
        <v>43582</v>
      </c>
      <c r="J125" s="28">
        <v>10</v>
      </c>
      <c r="K125" s="28" t="s">
        <v>46</v>
      </c>
      <c r="L125" s="28" t="s">
        <v>7</v>
      </c>
      <c r="M125" s="31">
        <v>0.11369088028965828</v>
      </c>
    </row>
    <row r="126" spans="1:13" x14ac:dyDescent="0.35">
      <c r="A126" s="26" t="s">
        <v>238</v>
      </c>
      <c r="B126" s="26" t="s">
        <v>32</v>
      </c>
      <c r="C126" s="27">
        <v>45610</v>
      </c>
      <c r="D126" s="26" t="s">
        <v>45</v>
      </c>
      <c r="E126" s="26">
        <v>4000</v>
      </c>
      <c r="F126" s="26">
        <v>689</v>
      </c>
      <c r="G126" s="26">
        <v>488</v>
      </c>
      <c r="H126" s="26">
        <v>40000</v>
      </c>
      <c r="I126" s="26">
        <v>39569</v>
      </c>
      <c r="J126" s="26">
        <v>44</v>
      </c>
      <c r="K126" s="26" t="s">
        <v>154</v>
      </c>
      <c r="L126" s="26" t="s">
        <v>7</v>
      </c>
      <c r="M126" s="30">
        <v>0.12942500000000001</v>
      </c>
    </row>
    <row r="127" spans="1:13" x14ac:dyDescent="0.35">
      <c r="A127" s="28" t="s">
        <v>239</v>
      </c>
      <c r="B127" s="28" t="s">
        <v>32</v>
      </c>
      <c r="C127" s="29">
        <v>45788</v>
      </c>
      <c r="D127" s="28" t="s">
        <v>50</v>
      </c>
      <c r="E127" s="28">
        <v>2493</v>
      </c>
      <c r="F127" s="28">
        <v>97</v>
      </c>
      <c r="G127" s="28">
        <v>44</v>
      </c>
      <c r="H127" s="28">
        <v>42381</v>
      </c>
      <c r="I127" s="28">
        <v>41991</v>
      </c>
      <c r="J127" s="28">
        <v>242</v>
      </c>
      <c r="K127" s="28" t="s">
        <v>157</v>
      </c>
      <c r="L127" s="28" t="s">
        <v>19</v>
      </c>
      <c r="M127" s="31">
        <v>6.2150491965739366E-2</v>
      </c>
    </row>
    <row r="128" spans="1:13" x14ac:dyDescent="0.35">
      <c r="A128" s="26" t="s">
        <v>239</v>
      </c>
      <c r="B128" s="26" t="s">
        <v>32</v>
      </c>
      <c r="C128" s="27">
        <v>45788</v>
      </c>
      <c r="D128" s="26" t="s">
        <v>50</v>
      </c>
      <c r="E128" s="26">
        <v>2493</v>
      </c>
      <c r="F128" s="26">
        <v>97</v>
      </c>
      <c r="G128" s="26">
        <v>44</v>
      </c>
      <c r="H128" s="26">
        <v>42381</v>
      </c>
      <c r="I128" s="26">
        <v>41991</v>
      </c>
      <c r="J128" s="26">
        <v>242</v>
      </c>
      <c r="K128" s="26" t="s">
        <v>155</v>
      </c>
      <c r="L128" s="26" t="s">
        <v>19</v>
      </c>
      <c r="M128" s="30">
        <v>6.2150491965739366E-2</v>
      </c>
    </row>
    <row r="129" spans="1:13" x14ac:dyDescent="0.35">
      <c r="A129" s="28" t="s">
        <v>240</v>
      </c>
      <c r="B129" s="28" t="s">
        <v>33</v>
      </c>
      <c r="C129" s="29">
        <v>45734</v>
      </c>
      <c r="D129" s="28" t="s">
        <v>48</v>
      </c>
      <c r="E129" s="28">
        <v>3704</v>
      </c>
      <c r="F129" s="28">
        <v>186</v>
      </c>
      <c r="G129" s="28">
        <v>458</v>
      </c>
      <c r="H129" s="28">
        <v>25928</v>
      </c>
      <c r="I129" s="28">
        <v>25081</v>
      </c>
      <c r="J129" s="28">
        <v>131</v>
      </c>
      <c r="K129" s="28" t="s">
        <v>157</v>
      </c>
      <c r="L129" s="28" t="s">
        <v>56</v>
      </c>
      <c r="M129" s="31">
        <v>0.16769515581610614</v>
      </c>
    </row>
    <row r="130" spans="1:13" x14ac:dyDescent="0.35">
      <c r="A130" s="26" t="s">
        <v>84</v>
      </c>
      <c r="B130" s="26" t="s">
        <v>32</v>
      </c>
      <c r="C130" s="27">
        <v>45600</v>
      </c>
      <c r="D130" s="26" t="s">
        <v>50</v>
      </c>
      <c r="E130" s="26">
        <v>1606</v>
      </c>
      <c r="F130" s="26">
        <v>451</v>
      </c>
      <c r="G130" s="26">
        <v>405</v>
      </c>
      <c r="H130" s="26">
        <v>20878</v>
      </c>
      <c r="I130" s="26">
        <v>20190</v>
      </c>
      <c r="J130" s="26">
        <v>219</v>
      </c>
      <c r="K130" s="26" t="s">
        <v>46</v>
      </c>
      <c r="L130" s="26" t="s">
        <v>19</v>
      </c>
      <c r="M130" s="30">
        <v>0.11792317271769326</v>
      </c>
    </row>
    <row r="131" spans="1:13" x14ac:dyDescent="0.35">
      <c r="A131" s="28" t="s">
        <v>241</v>
      </c>
      <c r="B131" s="28" t="s">
        <v>31</v>
      </c>
      <c r="C131" s="29">
        <v>45600</v>
      </c>
      <c r="D131" s="28" t="s">
        <v>50</v>
      </c>
      <c r="E131" s="28">
        <v>4551</v>
      </c>
      <c r="F131" s="28">
        <v>714</v>
      </c>
      <c r="G131" s="28">
        <v>207</v>
      </c>
      <c r="H131" s="28">
        <v>68265</v>
      </c>
      <c r="I131" s="28">
        <v>67754</v>
      </c>
      <c r="J131" s="28">
        <v>57</v>
      </c>
      <c r="K131" s="28" t="s">
        <v>154</v>
      </c>
      <c r="L131" s="28" t="s">
        <v>15</v>
      </c>
      <c r="M131" s="31">
        <v>8.0158206987475278E-2</v>
      </c>
    </row>
    <row r="132" spans="1:13" x14ac:dyDescent="0.35">
      <c r="A132" s="26" t="s">
        <v>242</v>
      </c>
      <c r="B132" s="26" t="s">
        <v>30</v>
      </c>
      <c r="C132" s="27">
        <v>45695</v>
      </c>
      <c r="D132" s="26" t="s">
        <v>48</v>
      </c>
      <c r="E132" s="26">
        <v>1970</v>
      </c>
      <c r="F132" s="26">
        <v>675</v>
      </c>
      <c r="G132" s="26">
        <v>478</v>
      </c>
      <c r="H132" s="26">
        <v>9850</v>
      </c>
      <c r="I132" s="26">
        <v>8924</v>
      </c>
      <c r="J132" s="26">
        <v>117</v>
      </c>
      <c r="K132" s="26" t="s">
        <v>154</v>
      </c>
      <c r="L132" s="26" t="s">
        <v>56</v>
      </c>
      <c r="M132" s="30">
        <v>0.31705583756345179</v>
      </c>
    </row>
    <row r="133" spans="1:13" x14ac:dyDescent="0.35">
      <c r="A133" s="28" t="s">
        <v>85</v>
      </c>
      <c r="B133" s="28" t="s">
        <v>31</v>
      </c>
      <c r="C133" s="29">
        <v>45586</v>
      </c>
      <c r="D133" s="28" t="s">
        <v>45</v>
      </c>
      <c r="E133" s="28">
        <v>780</v>
      </c>
      <c r="F133" s="28">
        <v>928</v>
      </c>
      <c r="G133" s="28">
        <v>301</v>
      </c>
      <c r="H133" s="28">
        <v>8580</v>
      </c>
      <c r="I133" s="28">
        <v>8081</v>
      </c>
      <c r="J133" s="28">
        <v>91</v>
      </c>
      <c r="K133" s="28" t="s">
        <v>46</v>
      </c>
      <c r="L133" s="28" t="s">
        <v>15</v>
      </c>
      <c r="M133" s="31">
        <v>0.23414918414918415</v>
      </c>
    </row>
    <row r="134" spans="1:13" x14ac:dyDescent="0.35">
      <c r="A134" s="26" t="s">
        <v>243</v>
      </c>
      <c r="B134" s="26" t="s">
        <v>30</v>
      </c>
      <c r="C134" s="27">
        <v>45502</v>
      </c>
      <c r="D134" s="26" t="s">
        <v>45</v>
      </c>
      <c r="E134" s="26">
        <v>498</v>
      </c>
      <c r="F134" s="26">
        <v>701</v>
      </c>
      <c r="G134" s="26">
        <v>412</v>
      </c>
      <c r="H134" s="26">
        <v>4980</v>
      </c>
      <c r="I134" s="26">
        <v>4185</v>
      </c>
      <c r="J134" s="26">
        <v>185</v>
      </c>
      <c r="K134" s="26" t="s">
        <v>154</v>
      </c>
      <c r="L134" s="26" t="s">
        <v>56</v>
      </c>
      <c r="M134" s="30">
        <v>0.32349397590361445</v>
      </c>
    </row>
    <row r="135" spans="1:13" x14ac:dyDescent="0.35">
      <c r="A135" s="28" t="s">
        <v>86</v>
      </c>
      <c r="B135" s="28" t="s">
        <v>30</v>
      </c>
      <c r="C135" s="29">
        <v>45567</v>
      </c>
      <c r="D135" s="28" t="s">
        <v>54</v>
      </c>
      <c r="E135" s="28">
        <v>3432</v>
      </c>
      <c r="F135" s="28">
        <v>869</v>
      </c>
      <c r="G135" s="28">
        <v>123</v>
      </c>
      <c r="H135" s="28">
        <v>54912</v>
      </c>
      <c r="I135" s="28">
        <v>53916</v>
      </c>
      <c r="J135" s="28">
        <v>264</v>
      </c>
      <c r="K135" s="28" t="s">
        <v>46</v>
      </c>
      <c r="L135" s="28" t="s">
        <v>11</v>
      </c>
      <c r="M135" s="31">
        <v>8.0565268065268064E-2</v>
      </c>
    </row>
    <row r="136" spans="1:13" x14ac:dyDescent="0.35">
      <c r="A136" s="26" t="s">
        <v>87</v>
      </c>
      <c r="B136" s="26" t="s">
        <v>30</v>
      </c>
      <c r="C136" s="27">
        <v>45457</v>
      </c>
      <c r="D136" s="26" t="s">
        <v>45</v>
      </c>
      <c r="E136" s="26">
        <v>4363</v>
      </c>
      <c r="F136" s="26">
        <v>649</v>
      </c>
      <c r="G136" s="26">
        <v>140</v>
      </c>
      <c r="H136" s="26">
        <v>21815</v>
      </c>
      <c r="I136" s="26">
        <v>21481</v>
      </c>
      <c r="J136" s="26">
        <v>157</v>
      </c>
      <c r="K136" s="26" t="s">
        <v>46</v>
      </c>
      <c r="L136" s="26" t="s">
        <v>7</v>
      </c>
      <c r="M136" s="30">
        <v>0.23616777446710979</v>
      </c>
    </row>
    <row r="137" spans="1:13" x14ac:dyDescent="0.35">
      <c r="A137" s="28" t="s">
        <v>88</v>
      </c>
      <c r="B137" s="28" t="s">
        <v>33</v>
      </c>
      <c r="C137" s="29">
        <v>45753</v>
      </c>
      <c r="D137" s="28" t="s">
        <v>52</v>
      </c>
      <c r="E137" s="28">
        <v>736</v>
      </c>
      <c r="F137" s="28">
        <v>771</v>
      </c>
      <c r="G137" s="28">
        <v>225</v>
      </c>
      <c r="H137" s="28">
        <v>5152</v>
      </c>
      <c r="I137" s="28">
        <v>4706</v>
      </c>
      <c r="J137" s="28">
        <v>19</v>
      </c>
      <c r="K137" s="28" t="s">
        <v>46</v>
      </c>
      <c r="L137" s="28" t="s">
        <v>7</v>
      </c>
      <c r="M137" s="31">
        <v>0.33618012422360249</v>
      </c>
    </row>
    <row r="138" spans="1:13" x14ac:dyDescent="0.35">
      <c r="A138" s="26" t="s">
        <v>244</v>
      </c>
      <c r="B138" s="26" t="s">
        <v>32</v>
      </c>
      <c r="C138" s="27">
        <v>45543</v>
      </c>
      <c r="D138" s="26" t="s">
        <v>52</v>
      </c>
      <c r="E138" s="26">
        <v>3811</v>
      </c>
      <c r="F138" s="26">
        <v>866</v>
      </c>
      <c r="G138" s="26">
        <v>216</v>
      </c>
      <c r="H138" s="26">
        <v>34299</v>
      </c>
      <c r="I138" s="26">
        <v>34088</v>
      </c>
      <c r="J138" s="26">
        <v>233</v>
      </c>
      <c r="K138" s="26" t="s">
        <v>157</v>
      </c>
      <c r="L138" s="26" t="s">
        <v>19</v>
      </c>
      <c r="M138" s="30">
        <v>0.14265722032712325</v>
      </c>
    </row>
    <row r="139" spans="1:13" x14ac:dyDescent="0.35">
      <c r="A139" s="28" t="s">
        <v>245</v>
      </c>
      <c r="B139" s="28" t="s">
        <v>30</v>
      </c>
      <c r="C139" s="29">
        <v>45744</v>
      </c>
      <c r="D139" s="28" t="s">
        <v>52</v>
      </c>
      <c r="E139" s="28">
        <v>4158</v>
      </c>
      <c r="F139" s="28">
        <v>167</v>
      </c>
      <c r="G139" s="28">
        <v>241</v>
      </c>
      <c r="H139" s="28">
        <v>45738</v>
      </c>
      <c r="I139" s="28">
        <v>45183</v>
      </c>
      <c r="J139" s="28">
        <v>142</v>
      </c>
      <c r="K139" s="28" t="s">
        <v>154</v>
      </c>
      <c r="L139" s="28" t="s">
        <v>56</v>
      </c>
      <c r="M139" s="31">
        <v>9.9829463465827106E-2</v>
      </c>
    </row>
    <row r="140" spans="1:13" x14ac:dyDescent="0.35">
      <c r="A140" s="26" t="s">
        <v>246</v>
      </c>
      <c r="B140" s="26" t="s">
        <v>31</v>
      </c>
      <c r="C140" s="27">
        <v>45684</v>
      </c>
      <c r="D140" s="26" t="s">
        <v>48</v>
      </c>
      <c r="E140" s="26">
        <v>3452</v>
      </c>
      <c r="F140" s="26">
        <v>652</v>
      </c>
      <c r="G140" s="26">
        <v>442</v>
      </c>
      <c r="H140" s="26">
        <v>65588</v>
      </c>
      <c r="I140" s="26">
        <v>65049</v>
      </c>
      <c r="J140" s="26">
        <v>158</v>
      </c>
      <c r="K140" s="26" t="s">
        <v>154</v>
      </c>
      <c r="L140" s="26" t="s">
        <v>15</v>
      </c>
      <c r="M140" s="30">
        <v>6.9311459413307311E-2</v>
      </c>
    </row>
    <row r="141" spans="1:13" x14ac:dyDescent="0.35">
      <c r="A141" s="28" t="s">
        <v>247</v>
      </c>
      <c r="B141" s="28" t="s">
        <v>32</v>
      </c>
      <c r="C141" s="29">
        <v>45667</v>
      </c>
      <c r="D141" s="28" t="s">
        <v>50</v>
      </c>
      <c r="E141" s="28">
        <v>3092</v>
      </c>
      <c r="F141" s="28">
        <v>106</v>
      </c>
      <c r="G141" s="28">
        <v>291</v>
      </c>
      <c r="H141" s="28">
        <v>27828</v>
      </c>
      <c r="I141" s="28">
        <v>27217</v>
      </c>
      <c r="J141" s="28">
        <v>102</v>
      </c>
      <c r="K141" s="28" t="s">
        <v>154</v>
      </c>
      <c r="L141" s="28" t="s">
        <v>56</v>
      </c>
      <c r="M141" s="31">
        <v>0.12537731780940059</v>
      </c>
    </row>
    <row r="142" spans="1:13" x14ac:dyDescent="0.35">
      <c r="A142" s="26" t="s">
        <v>248</v>
      </c>
      <c r="B142" s="26" t="s">
        <v>32</v>
      </c>
      <c r="C142" s="27">
        <v>45494</v>
      </c>
      <c r="D142" s="26" t="s">
        <v>54</v>
      </c>
      <c r="E142" s="26">
        <v>2147</v>
      </c>
      <c r="F142" s="26">
        <v>430</v>
      </c>
      <c r="G142" s="26">
        <v>393</v>
      </c>
      <c r="H142" s="26">
        <v>17176</v>
      </c>
      <c r="I142" s="26">
        <v>16483</v>
      </c>
      <c r="J142" s="26">
        <v>170</v>
      </c>
      <c r="K142" s="26" t="s">
        <v>157</v>
      </c>
      <c r="L142" s="26" t="s">
        <v>56</v>
      </c>
      <c r="M142" s="30">
        <v>0.17291569632044715</v>
      </c>
    </row>
    <row r="143" spans="1:13" x14ac:dyDescent="0.35">
      <c r="A143" s="28" t="s">
        <v>89</v>
      </c>
      <c r="B143" s="28" t="s">
        <v>33</v>
      </c>
      <c r="C143" s="29">
        <v>45564</v>
      </c>
      <c r="D143" s="28" t="s">
        <v>48</v>
      </c>
      <c r="E143" s="28">
        <v>2936</v>
      </c>
      <c r="F143" s="28">
        <v>439</v>
      </c>
      <c r="G143" s="28">
        <v>44</v>
      </c>
      <c r="H143" s="28">
        <v>38168</v>
      </c>
      <c r="I143" s="28">
        <v>37571</v>
      </c>
      <c r="J143" s="28">
        <v>22</v>
      </c>
      <c r="K143" s="28" t="s">
        <v>46</v>
      </c>
      <c r="L143" s="28" t="s">
        <v>19</v>
      </c>
      <c r="M143" s="31">
        <v>8.9577656675749323E-2</v>
      </c>
    </row>
    <row r="144" spans="1:13" x14ac:dyDescent="0.35">
      <c r="A144" s="26" t="s">
        <v>249</v>
      </c>
      <c r="B144" s="26" t="s">
        <v>30</v>
      </c>
      <c r="C144" s="27">
        <v>45586</v>
      </c>
      <c r="D144" s="26" t="s">
        <v>48</v>
      </c>
      <c r="E144" s="26">
        <v>4840</v>
      </c>
      <c r="F144" s="26">
        <v>658</v>
      </c>
      <c r="G144" s="26">
        <v>211</v>
      </c>
      <c r="H144" s="26">
        <v>43560</v>
      </c>
      <c r="I144" s="26">
        <v>43225</v>
      </c>
      <c r="J144" s="26">
        <v>57</v>
      </c>
      <c r="K144" s="26" t="s">
        <v>154</v>
      </c>
      <c r="L144" s="26" t="s">
        <v>15</v>
      </c>
      <c r="M144" s="30">
        <v>0.13106060606060607</v>
      </c>
    </row>
    <row r="145" spans="1:13" x14ac:dyDescent="0.35">
      <c r="A145" s="28" t="s">
        <v>250</v>
      </c>
      <c r="B145" s="28" t="s">
        <v>30</v>
      </c>
      <c r="C145" s="29">
        <v>45720</v>
      </c>
      <c r="D145" s="28" t="s">
        <v>45</v>
      </c>
      <c r="E145" s="28">
        <v>1947</v>
      </c>
      <c r="F145" s="28">
        <v>842</v>
      </c>
      <c r="G145" s="28">
        <v>101</v>
      </c>
      <c r="H145" s="28">
        <v>21417</v>
      </c>
      <c r="I145" s="28">
        <v>20967</v>
      </c>
      <c r="J145" s="28">
        <v>186</v>
      </c>
      <c r="K145" s="28" t="s">
        <v>154</v>
      </c>
      <c r="L145" s="28" t="s">
        <v>11</v>
      </c>
      <c r="M145" s="31">
        <v>0.13493953401503478</v>
      </c>
    </row>
    <row r="146" spans="1:13" x14ac:dyDescent="0.35">
      <c r="A146" s="26" t="s">
        <v>251</v>
      </c>
      <c r="B146" s="26" t="s">
        <v>31</v>
      </c>
      <c r="C146" s="27">
        <v>45694</v>
      </c>
      <c r="D146" s="26" t="s">
        <v>50</v>
      </c>
      <c r="E146" s="26">
        <v>2072</v>
      </c>
      <c r="F146" s="26">
        <v>532</v>
      </c>
      <c r="G146" s="26">
        <v>71</v>
      </c>
      <c r="H146" s="26">
        <v>37296</v>
      </c>
      <c r="I146" s="26">
        <v>36467</v>
      </c>
      <c r="J146" s="26">
        <v>25</v>
      </c>
      <c r="K146" s="26" t="s">
        <v>157</v>
      </c>
      <c r="L146" s="26" t="s">
        <v>19</v>
      </c>
      <c r="M146" s="30">
        <v>7.172350922350923E-2</v>
      </c>
    </row>
    <row r="147" spans="1:13" x14ac:dyDescent="0.35">
      <c r="A147" s="28" t="s">
        <v>252</v>
      </c>
      <c r="B147" s="28" t="s">
        <v>32</v>
      </c>
      <c r="C147" s="29">
        <v>45771</v>
      </c>
      <c r="D147" s="28" t="s">
        <v>48</v>
      </c>
      <c r="E147" s="28">
        <v>3731</v>
      </c>
      <c r="F147" s="28">
        <v>115</v>
      </c>
      <c r="G147" s="28">
        <v>135</v>
      </c>
      <c r="H147" s="28">
        <v>55965</v>
      </c>
      <c r="I147" s="28">
        <v>55436</v>
      </c>
      <c r="J147" s="28">
        <v>103</v>
      </c>
      <c r="K147" s="28" t="s">
        <v>157</v>
      </c>
      <c r="L147" s="28" t="s">
        <v>7</v>
      </c>
      <c r="M147" s="31">
        <v>7.1133744304476013E-2</v>
      </c>
    </row>
    <row r="148" spans="1:13" x14ac:dyDescent="0.35">
      <c r="A148" s="26" t="s">
        <v>253</v>
      </c>
      <c r="B148" s="26" t="s">
        <v>31</v>
      </c>
      <c r="C148" s="27">
        <v>45624</v>
      </c>
      <c r="D148" s="26" t="s">
        <v>54</v>
      </c>
      <c r="E148" s="26">
        <v>4213</v>
      </c>
      <c r="F148" s="26">
        <v>253</v>
      </c>
      <c r="G148" s="26">
        <v>434</v>
      </c>
      <c r="H148" s="26">
        <v>75834</v>
      </c>
      <c r="I148" s="26">
        <v>75437</v>
      </c>
      <c r="J148" s="26">
        <v>272</v>
      </c>
      <c r="K148" s="26" t="s">
        <v>154</v>
      </c>
      <c r="L148" s="26" t="s">
        <v>19</v>
      </c>
      <c r="M148" s="30">
        <v>6.461481657304112E-2</v>
      </c>
    </row>
    <row r="149" spans="1:13" x14ac:dyDescent="0.35">
      <c r="A149" s="28" t="s">
        <v>90</v>
      </c>
      <c r="B149" s="28" t="s">
        <v>30</v>
      </c>
      <c r="C149" s="29">
        <v>45484</v>
      </c>
      <c r="D149" s="28" t="s">
        <v>54</v>
      </c>
      <c r="E149" s="28">
        <v>3134</v>
      </c>
      <c r="F149" s="28">
        <v>888</v>
      </c>
      <c r="G149" s="28">
        <v>444</v>
      </c>
      <c r="H149" s="28">
        <v>21938</v>
      </c>
      <c r="I149" s="28">
        <v>21337</v>
      </c>
      <c r="J149" s="28">
        <v>130</v>
      </c>
      <c r="K149" s="28" t="s">
        <v>46</v>
      </c>
      <c r="L149" s="28" t="s">
        <v>19</v>
      </c>
      <c r="M149" s="31">
        <v>0.20357370772176137</v>
      </c>
    </row>
    <row r="150" spans="1:13" x14ac:dyDescent="0.35">
      <c r="A150" s="26" t="s">
        <v>254</v>
      </c>
      <c r="B150" s="26" t="s">
        <v>31</v>
      </c>
      <c r="C150" s="27">
        <v>45504</v>
      </c>
      <c r="D150" s="26" t="s">
        <v>58</v>
      </c>
      <c r="E150" s="26">
        <v>3008</v>
      </c>
      <c r="F150" s="26">
        <v>94</v>
      </c>
      <c r="G150" s="26">
        <v>37</v>
      </c>
      <c r="H150" s="26">
        <v>15040</v>
      </c>
      <c r="I150" s="26">
        <v>14639</v>
      </c>
      <c r="J150" s="26">
        <v>277</v>
      </c>
      <c r="K150" s="26" t="s">
        <v>154</v>
      </c>
      <c r="L150" s="26" t="s">
        <v>56</v>
      </c>
      <c r="M150" s="30">
        <v>0.20871010638297871</v>
      </c>
    </row>
    <row r="151" spans="1:13" x14ac:dyDescent="0.35">
      <c r="A151" s="28" t="s">
        <v>255</v>
      </c>
      <c r="B151" s="28" t="s">
        <v>32</v>
      </c>
      <c r="C151" s="29">
        <v>45745</v>
      </c>
      <c r="D151" s="28" t="s">
        <v>50</v>
      </c>
      <c r="E151" s="28">
        <v>305</v>
      </c>
      <c r="F151" s="28">
        <v>187</v>
      </c>
      <c r="G151" s="28">
        <v>243</v>
      </c>
      <c r="H151" s="28">
        <v>4575</v>
      </c>
      <c r="I151" s="28">
        <v>3704</v>
      </c>
      <c r="J151" s="28">
        <v>234</v>
      </c>
      <c r="K151" s="28" t="s">
        <v>154</v>
      </c>
      <c r="L151" s="28" t="s">
        <v>15</v>
      </c>
      <c r="M151" s="31">
        <v>0.16065573770491803</v>
      </c>
    </row>
    <row r="152" spans="1:13" x14ac:dyDescent="0.35">
      <c r="A152" s="26" t="s">
        <v>91</v>
      </c>
      <c r="B152" s="26" t="s">
        <v>33</v>
      </c>
      <c r="C152" s="27">
        <v>45594</v>
      </c>
      <c r="D152" s="26" t="s">
        <v>54</v>
      </c>
      <c r="E152" s="26">
        <v>2746</v>
      </c>
      <c r="F152" s="26">
        <v>156</v>
      </c>
      <c r="G152" s="26">
        <v>203</v>
      </c>
      <c r="H152" s="26">
        <v>32952</v>
      </c>
      <c r="I152" s="26">
        <v>32147</v>
      </c>
      <c r="J152" s="26">
        <v>147</v>
      </c>
      <c r="K152" s="26" t="s">
        <v>46</v>
      </c>
      <c r="L152" s="26" t="s">
        <v>7</v>
      </c>
      <c r="M152" s="30">
        <v>9.422796795338674E-2</v>
      </c>
    </row>
    <row r="153" spans="1:13" x14ac:dyDescent="0.35">
      <c r="A153" s="28" t="s">
        <v>92</v>
      </c>
      <c r="B153" s="28" t="s">
        <v>31</v>
      </c>
      <c r="C153" s="29">
        <v>45488</v>
      </c>
      <c r="D153" s="28" t="s">
        <v>50</v>
      </c>
      <c r="E153" s="28">
        <v>2291</v>
      </c>
      <c r="F153" s="28">
        <v>78</v>
      </c>
      <c r="G153" s="28">
        <v>485</v>
      </c>
      <c r="H153" s="28">
        <v>18328</v>
      </c>
      <c r="I153" s="28">
        <v>18101</v>
      </c>
      <c r="J153" s="28">
        <v>10</v>
      </c>
      <c r="K153" s="28" t="s">
        <v>46</v>
      </c>
      <c r="L153" s="28" t="s">
        <v>11</v>
      </c>
      <c r="M153" s="31">
        <v>0.15571802706241816</v>
      </c>
    </row>
    <row r="154" spans="1:13" x14ac:dyDescent="0.35">
      <c r="A154" s="26" t="s">
        <v>92</v>
      </c>
      <c r="B154" s="26" t="s">
        <v>31</v>
      </c>
      <c r="C154" s="27">
        <v>45488</v>
      </c>
      <c r="D154" s="26" t="s">
        <v>50</v>
      </c>
      <c r="E154" s="26">
        <v>2291</v>
      </c>
      <c r="F154" s="26">
        <v>78</v>
      </c>
      <c r="G154" s="26">
        <v>485</v>
      </c>
      <c r="H154" s="26">
        <v>18328</v>
      </c>
      <c r="I154" s="26">
        <v>18101</v>
      </c>
      <c r="J154" s="26">
        <v>10</v>
      </c>
      <c r="K154" s="26" t="s">
        <v>18</v>
      </c>
      <c r="L154" s="26" t="s">
        <v>11</v>
      </c>
      <c r="M154" s="30">
        <v>0.15571802706241816</v>
      </c>
    </row>
    <row r="155" spans="1:13" x14ac:dyDescent="0.35">
      <c r="A155" s="28" t="s">
        <v>256</v>
      </c>
      <c r="B155" s="28" t="s">
        <v>32</v>
      </c>
      <c r="C155" s="29">
        <v>45535</v>
      </c>
      <c r="D155" s="28" t="s">
        <v>50</v>
      </c>
      <c r="E155" s="28">
        <v>3170</v>
      </c>
      <c r="F155" s="28">
        <v>857</v>
      </c>
      <c r="G155" s="28">
        <v>379</v>
      </c>
      <c r="H155" s="28">
        <v>19020</v>
      </c>
      <c r="I155" s="28">
        <v>18559</v>
      </c>
      <c r="J155" s="28">
        <v>240</v>
      </c>
      <c r="K155" s="28" t="s">
        <v>154</v>
      </c>
      <c r="L155" s="28" t="s">
        <v>56</v>
      </c>
      <c r="M155" s="31">
        <v>0.2316508937960042</v>
      </c>
    </row>
    <row r="156" spans="1:13" x14ac:dyDescent="0.35">
      <c r="A156" s="26" t="s">
        <v>257</v>
      </c>
      <c r="B156" s="26" t="s">
        <v>33</v>
      </c>
      <c r="C156" s="27">
        <v>45741</v>
      </c>
      <c r="D156" s="26" t="s">
        <v>45</v>
      </c>
      <c r="E156" s="26">
        <v>2070</v>
      </c>
      <c r="F156" s="26">
        <v>275</v>
      </c>
      <c r="G156" s="26">
        <v>386</v>
      </c>
      <c r="H156" s="26">
        <v>39330</v>
      </c>
      <c r="I156" s="26">
        <v>38627</v>
      </c>
      <c r="J156" s="26">
        <v>114</v>
      </c>
      <c r="K156" s="26" t="s">
        <v>154</v>
      </c>
      <c r="L156" s="26" t="s">
        <v>19</v>
      </c>
      <c r="M156" s="30">
        <v>6.9438087973557078E-2</v>
      </c>
    </row>
    <row r="157" spans="1:13" x14ac:dyDescent="0.35">
      <c r="A157" s="28" t="s">
        <v>258</v>
      </c>
      <c r="B157" s="28" t="s">
        <v>33</v>
      </c>
      <c r="C157" s="29">
        <v>45567</v>
      </c>
      <c r="D157" s="28" t="s">
        <v>52</v>
      </c>
      <c r="E157" s="28">
        <v>80</v>
      </c>
      <c r="F157" s="28">
        <v>362</v>
      </c>
      <c r="G157" s="28">
        <v>80</v>
      </c>
      <c r="H157" s="28">
        <v>1040</v>
      </c>
      <c r="I157" s="28">
        <v>349</v>
      </c>
      <c r="J157" s="28">
        <v>117</v>
      </c>
      <c r="K157" s="28" t="s">
        <v>157</v>
      </c>
      <c r="L157" s="28" t="s">
        <v>15</v>
      </c>
      <c r="M157" s="31">
        <v>0.50192307692307692</v>
      </c>
    </row>
    <row r="158" spans="1:13" x14ac:dyDescent="0.35">
      <c r="A158" s="26" t="s">
        <v>93</v>
      </c>
      <c r="B158" s="26" t="s">
        <v>33</v>
      </c>
      <c r="C158" s="27">
        <v>45593</v>
      </c>
      <c r="D158" s="26" t="s">
        <v>45</v>
      </c>
      <c r="E158" s="26">
        <v>4929</v>
      </c>
      <c r="F158" s="26">
        <v>749</v>
      </c>
      <c r="G158" s="26">
        <v>452</v>
      </c>
      <c r="H158" s="26">
        <v>93651</v>
      </c>
      <c r="I158" s="26">
        <v>92810</v>
      </c>
      <c r="J158" s="26">
        <v>66</v>
      </c>
      <c r="K158" s="26" t="s">
        <v>46</v>
      </c>
      <c r="L158" s="26" t="s">
        <v>19</v>
      </c>
      <c r="M158" s="30">
        <v>6.5455787978772245E-2</v>
      </c>
    </row>
    <row r="159" spans="1:13" x14ac:dyDescent="0.35">
      <c r="A159" s="28" t="s">
        <v>259</v>
      </c>
      <c r="B159" s="28" t="s">
        <v>30</v>
      </c>
      <c r="C159" s="29">
        <v>45516</v>
      </c>
      <c r="D159" s="28" t="s">
        <v>52</v>
      </c>
      <c r="E159" s="28">
        <v>1878</v>
      </c>
      <c r="F159" s="28">
        <v>62</v>
      </c>
      <c r="G159" s="28">
        <v>179</v>
      </c>
      <c r="H159" s="28">
        <v>37560</v>
      </c>
      <c r="I159" s="28">
        <v>36874</v>
      </c>
      <c r="J159" s="28">
        <v>142</v>
      </c>
      <c r="K159" s="28" t="s">
        <v>157</v>
      </c>
      <c r="L159" s="28" t="s">
        <v>19</v>
      </c>
      <c r="M159" s="31">
        <v>5.6416400425985093E-2</v>
      </c>
    </row>
    <row r="160" spans="1:13" x14ac:dyDescent="0.35">
      <c r="A160" s="26" t="s">
        <v>94</v>
      </c>
      <c r="B160" s="26" t="s">
        <v>33</v>
      </c>
      <c r="C160" s="27">
        <v>45448</v>
      </c>
      <c r="D160" s="26" t="s">
        <v>48</v>
      </c>
      <c r="E160" s="26">
        <v>3065</v>
      </c>
      <c r="F160" s="26">
        <v>772</v>
      </c>
      <c r="G160" s="26">
        <v>142</v>
      </c>
      <c r="H160" s="26">
        <v>18390</v>
      </c>
      <c r="I160" s="26">
        <v>17875</v>
      </c>
      <c r="J160" s="26">
        <v>200</v>
      </c>
      <c r="K160" s="26" t="s">
        <v>46</v>
      </c>
      <c r="L160" s="26" t="s">
        <v>56</v>
      </c>
      <c r="M160" s="30">
        <v>0.21636759108210984</v>
      </c>
    </row>
    <row r="161" spans="1:13" x14ac:dyDescent="0.35">
      <c r="A161" s="28" t="s">
        <v>94</v>
      </c>
      <c r="B161" s="28" t="s">
        <v>33</v>
      </c>
      <c r="C161" s="29">
        <v>45448</v>
      </c>
      <c r="D161" s="28" t="s">
        <v>48</v>
      </c>
      <c r="E161" s="28">
        <v>3065</v>
      </c>
      <c r="F161" s="28">
        <v>772</v>
      </c>
      <c r="G161" s="28">
        <v>142</v>
      </c>
      <c r="H161" s="28">
        <v>18390</v>
      </c>
      <c r="I161" s="28">
        <v>17875</v>
      </c>
      <c r="J161" s="28">
        <v>200</v>
      </c>
      <c r="K161" s="28" t="s">
        <v>155</v>
      </c>
      <c r="L161" s="28" t="s">
        <v>56</v>
      </c>
      <c r="M161" s="31">
        <v>0.21636759108210984</v>
      </c>
    </row>
    <row r="162" spans="1:13" x14ac:dyDescent="0.35">
      <c r="A162" s="26" t="s">
        <v>260</v>
      </c>
      <c r="B162" s="26" t="s">
        <v>30</v>
      </c>
      <c r="C162" s="27">
        <v>45586</v>
      </c>
      <c r="D162" s="26" t="s">
        <v>48</v>
      </c>
      <c r="E162" s="26">
        <v>3256</v>
      </c>
      <c r="F162" s="26">
        <v>459</v>
      </c>
      <c r="G162" s="26">
        <v>266</v>
      </c>
      <c r="H162" s="26">
        <v>26048</v>
      </c>
      <c r="I162" s="26">
        <v>25529</v>
      </c>
      <c r="J162" s="26">
        <v>143</v>
      </c>
      <c r="K162" s="26" t="s">
        <v>157</v>
      </c>
      <c r="L162" s="26" t="s">
        <v>11</v>
      </c>
      <c r="M162" s="30">
        <v>0.15283323095823095</v>
      </c>
    </row>
    <row r="163" spans="1:13" x14ac:dyDescent="0.35">
      <c r="A163" s="28" t="s">
        <v>95</v>
      </c>
      <c r="B163" s="28" t="s">
        <v>30</v>
      </c>
      <c r="C163" s="29">
        <v>45762</v>
      </c>
      <c r="D163" s="28" t="s">
        <v>58</v>
      </c>
      <c r="E163" s="28">
        <v>4133</v>
      </c>
      <c r="F163" s="28">
        <v>466</v>
      </c>
      <c r="G163" s="28">
        <v>327</v>
      </c>
      <c r="H163" s="28">
        <v>24798</v>
      </c>
      <c r="I163" s="28">
        <v>24620</v>
      </c>
      <c r="J163" s="28">
        <v>176</v>
      </c>
      <c r="K163" s="28" t="s">
        <v>46</v>
      </c>
      <c r="L163" s="28" t="s">
        <v>19</v>
      </c>
      <c r="M163" s="31">
        <v>0.19864505202032423</v>
      </c>
    </row>
    <row r="164" spans="1:13" x14ac:dyDescent="0.35">
      <c r="A164" s="26" t="s">
        <v>96</v>
      </c>
      <c r="B164" s="26" t="s">
        <v>32</v>
      </c>
      <c r="C164" s="27">
        <v>45459</v>
      </c>
      <c r="D164" s="26" t="s">
        <v>58</v>
      </c>
      <c r="E164" s="26">
        <v>1702</v>
      </c>
      <c r="F164" s="26">
        <v>750</v>
      </c>
      <c r="G164" s="26">
        <v>179</v>
      </c>
      <c r="H164" s="26">
        <v>34040</v>
      </c>
      <c r="I164" s="26">
        <v>33174</v>
      </c>
      <c r="J164" s="26">
        <v>76</v>
      </c>
      <c r="K164" s="26" t="s">
        <v>46</v>
      </c>
      <c r="L164" s="26" t="s">
        <v>7</v>
      </c>
      <c r="M164" s="30">
        <v>7.7291421856639245E-2</v>
      </c>
    </row>
    <row r="165" spans="1:13" x14ac:dyDescent="0.35">
      <c r="A165" s="28" t="s">
        <v>261</v>
      </c>
      <c r="B165" s="28" t="s">
        <v>33</v>
      </c>
      <c r="C165" s="29">
        <v>45526</v>
      </c>
      <c r="D165" s="28" t="s">
        <v>52</v>
      </c>
      <c r="E165" s="28">
        <v>4295</v>
      </c>
      <c r="F165" s="28">
        <v>853</v>
      </c>
      <c r="G165" s="28">
        <v>325</v>
      </c>
      <c r="H165" s="28">
        <v>85900</v>
      </c>
      <c r="I165" s="28">
        <v>85788</v>
      </c>
      <c r="J165" s="28">
        <v>290</v>
      </c>
      <c r="K165" s="28" t="s">
        <v>157</v>
      </c>
      <c r="L165" s="28" t="s">
        <v>19</v>
      </c>
      <c r="M165" s="31">
        <v>6.3713620488940623E-2</v>
      </c>
    </row>
    <row r="166" spans="1:13" x14ac:dyDescent="0.35">
      <c r="A166" s="26" t="s">
        <v>97</v>
      </c>
      <c r="B166" s="26" t="s">
        <v>30</v>
      </c>
      <c r="C166" s="27">
        <v>45499</v>
      </c>
      <c r="D166" s="26" t="s">
        <v>50</v>
      </c>
      <c r="E166" s="26">
        <v>3559</v>
      </c>
      <c r="F166" s="26">
        <v>59</v>
      </c>
      <c r="G166" s="26">
        <v>289</v>
      </c>
      <c r="H166" s="26">
        <v>35590</v>
      </c>
      <c r="I166" s="26">
        <v>35105</v>
      </c>
      <c r="J166" s="26">
        <v>122</v>
      </c>
      <c r="K166" s="26" t="s">
        <v>46</v>
      </c>
      <c r="L166" s="26" t="s">
        <v>7</v>
      </c>
      <c r="M166" s="30">
        <v>0.10977802753582468</v>
      </c>
    </row>
    <row r="167" spans="1:13" x14ac:dyDescent="0.35">
      <c r="A167" s="28" t="s">
        <v>98</v>
      </c>
      <c r="B167" s="28" t="s">
        <v>31</v>
      </c>
      <c r="C167" s="29">
        <v>45769</v>
      </c>
      <c r="D167" s="28" t="s">
        <v>50</v>
      </c>
      <c r="E167" s="28">
        <v>4804</v>
      </c>
      <c r="F167" s="28">
        <v>550</v>
      </c>
      <c r="G167" s="28">
        <v>270</v>
      </c>
      <c r="H167" s="28">
        <v>28824</v>
      </c>
      <c r="I167" s="28">
        <v>28370</v>
      </c>
      <c r="J167" s="28">
        <v>47</v>
      </c>
      <c r="K167" s="28" t="s">
        <v>46</v>
      </c>
      <c r="L167" s="28" t="s">
        <v>19</v>
      </c>
      <c r="M167" s="31">
        <v>0.19511518179295032</v>
      </c>
    </row>
    <row r="168" spans="1:13" x14ac:dyDescent="0.35">
      <c r="A168" s="26" t="s">
        <v>262</v>
      </c>
      <c r="B168" s="26" t="s">
        <v>32</v>
      </c>
      <c r="C168" s="27">
        <v>45658</v>
      </c>
      <c r="D168" s="26" t="s">
        <v>58</v>
      </c>
      <c r="E168" s="26">
        <v>754</v>
      </c>
      <c r="F168" s="26">
        <v>197</v>
      </c>
      <c r="G168" s="26">
        <v>257</v>
      </c>
      <c r="H168" s="26">
        <v>6786</v>
      </c>
      <c r="I168" s="26">
        <v>6221</v>
      </c>
      <c r="J168" s="26">
        <v>212</v>
      </c>
      <c r="K168" s="26" t="s">
        <v>157</v>
      </c>
      <c r="L168" s="26" t="s">
        <v>15</v>
      </c>
      <c r="M168" s="30">
        <v>0.17801355732390214</v>
      </c>
    </row>
    <row r="169" spans="1:13" x14ac:dyDescent="0.35">
      <c r="A169" s="28" t="s">
        <v>263</v>
      </c>
      <c r="B169" s="28" t="s">
        <v>30</v>
      </c>
      <c r="C169" s="29">
        <v>45574</v>
      </c>
      <c r="D169" s="28" t="s">
        <v>52</v>
      </c>
      <c r="E169" s="28">
        <v>985</v>
      </c>
      <c r="F169" s="28">
        <v>932</v>
      </c>
      <c r="G169" s="28">
        <v>287</v>
      </c>
      <c r="H169" s="28">
        <v>6895</v>
      </c>
      <c r="I169" s="28">
        <v>6757</v>
      </c>
      <c r="J169" s="28">
        <v>64</v>
      </c>
      <c r="K169" s="28" t="s">
        <v>154</v>
      </c>
      <c r="L169" s="28" t="s">
        <v>19</v>
      </c>
      <c r="M169" s="31">
        <v>0.31965192168237855</v>
      </c>
    </row>
    <row r="170" spans="1:13" x14ac:dyDescent="0.35">
      <c r="A170" s="26" t="s">
        <v>264</v>
      </c>
      <c r="B170" s="26" t="s">
        <v>33</v>
      </c>
      <c r="C170" s="27">
        <v>45647</v>
      </c>
      <c r="D170" s="26" t="s">
        <v>50</v>
      </c>
      <c r="E170" s="26">
        <v>2283</v>
      </c>
      <c r="F170" s="26">
        <v>210</v>
      </c>
      <c r="G170" s="26">
        <v>130</v>
      </c>
      <c r="H170" s="26">
        <v>22830</v>
      </c>
      <c r="I170" s="26">
        <v>22617</v>
      </c>
      <c r="J170" s="26">
        <v>143</v>
      </c>
      <c r="K170" s="26" t="s">
        <v>154</v>
      </c>
      <c r="L170" s="26" t="s">
        <v>11</v>
      </c>
      <c r="M170" s="30">
        <v>0.11489268506351293</v>
      </c>
    </row>
    <row r="171" spans="1:13" x14ac:dyDescent="0.35">
      <c r="A171" s="28" t="s">
        <v>265</v>
      </c>
      <c r="B171" s="28" t="s">
        <v>31</v>
      </c>
      <c r="C171" s="29">
        <v>45587</v>
      </c>
      <c r="D171" s="28" t="s">
        <v>52</v>
      </c>
      <c r="E171" s="28">
        <v>3352</v>
      </c>
      <c r="F171" s="28">
        <v>941</v>
      </c>
      <c r="G171" s="28">
        <v>482</v>
      </c>
      <c r="H171" s="28">
        <v>43576</v>
      </c>
      <c r="I171" s="28">
        <v>43338</v>
      </c>
      <c r="J171" s="28">
        <v>240</v>
      </c>
      <c r="K171" s="28" t="s">
        <v>154</v>
      </c>
      <c r="L171" s="28" t="s">
        <v>11</v>
      </c>
      <c r="M171" s="31">
        <v>0.1095786671562328</v>
      </c>
    </row>
    <row r="172" spans="1:13" x14ac:dyDescent="0.35">
      <c r="A172" s="26" t="s">
        <v>266</v>
      </c>
      <c r="B172" s="26" t="s">
        <v>33</v>
      </c>
      <c r="C172" s="27">
        <v>45496</v>
      </c>
      <c r="D172" s="26" t="s">
        <v>45</v>
      </c>
      <c r="E172" s="26">
        <v>4775</v>
      </c>
      <c r="F172" s="26">
        <v>173</v>
      </c>
      <c r="G172" s="26">
        <v>206</v>
      </c>
      <c r="H172" s="26">
        <v>47750</v>
      </c>
      <c r="I172" s="26">
        <v>47544</v>
      </c>
      <c r="J172" s="26">
        <v>187</v>
      </c>
      <c r="K172" s="26" t="s">
        <v>154</v>
      </c>
      <c r="L172" s="26" t="s">
        <v>11</v>
      </c>
      <c r="M172" s="30">
        <v>0.10793717277486913</v>
      </c>
    </row>
    <row r="173" spans="1:13" x14ac:dyDescent="0.35">
      <c r="A173" s="28" t="s">
        <v>267</v>
      </c>
      <c r="B173" s="28" t="s">
        <v>30</v>
      </c>
      <c r="C173" s="29">
        <v>45515</v>
      </c>
      <c r="D173" s="28" t="s">
        <v>45</v>
      </c>
      <c r="E173" s="28">
        <v>1762</v>
      </c>
      <c r="F173" s="28">
        <v>405</v>
      </c>
      <c r="G173" s="28">
        <v>423</v>
      </c>
      <c r="H173" s="28">
        <v>22906</v>
      </c>
      <c r="I173" s="28">
        <v>21925</v>
      </c>
      <c r="J173" s="28">
        <v>25</v>
      </c>
      <c r="K173" s="28" t="s">
        <v>157</v>
      </c>
      <c r="L173" s="28" t="s">
        <v>7</v>
      </c>
      <c r="M173" s="31">
        <v>0.11307081114118572</v>
      </c>
    </row>
    <row r="174" spans="1:13" x14ac:dyDescent="0.35">
      <c r="A174" s="26" t="s">
        <v>268</v>
      </c>
      <c r="B174" s="26" t="s">
        <v>31</v>
      </c>
      <c r="C174" s="27">
        <v>45621</v>
      </c>
      <c r="D174" s="26" t="s">
        <v>45</v>
      </c>
      <c r="E174" s="26">
        <v>2120</v>
      </c>
      <c r="F174" s="26">
        <v>158</v>
      </c>
      <c r="G174" s="26">
        <v>488</v>
      </c>
      <c r="H174" s="26">
        <v>12720</v>
      </c>
      <c r="I174" s="26">
        <v>12085</v>
      </c>
      <c r="J174" s="26">
        <v>17</v>
      </c>
      <c r="K174" s="26" t="s">
        <v>154</v>
      </c>
      <c r="L174" s="26" t="s">
        <v>11</v>
      </c>
      <c r="M174" s="30">
        <v>0.21745283018867925</v>
      </c>
    </row>
    <row r="175" spans="1:13" x14ac:dyDescent="0.35">
      <c r="A175" s="28" t="s">
        <v>269</v>
      </c>
      <c r="B175" s="28" t="s">
        <v>32</v>
      </c>
      <c r="C175" s="29">
        <v>45528</v>
      </c>
      <c r="D175" s="28" t="s">
        <v>58</v>
      </c>
      <c r="E175" s="28">
        <v>1082</v>
      </c>
      <c r="F175" s="28">
        <v>209</v>
      </c>
      <c r="G175" s="28">
        <v>484</v>
      </c>
      <c r="H175" s="28">
        <v>19476</v>
      </c>
      <c r="I175" s="28">
        <v>18654</v>
      </c>
      <c r="J175" s="28">
        <v>20</v>
      </c>
      <c r="K175" s="28" t="s">
        <v>157</v>
      </c>
      <c r="L175" s="28" t="s">
        <v>56</v>
      </c>
      <c r="M175" s="31">
        <v>9.1137810638734842E-2</v>
      </c>
    </row>
    <row r="176" spans="1:13" x14ac:dyDescent="0.35">
      <c r="A176" s="26" t="s">
        <v>270</v>
      </c>
      <c r="B176" s="26" t="s">
        <v>32</v>
      </c>
      <c r="C176" s="27">
        <v>45707</v>
      </c>
      <c r="D176" s="26" t="s">
        <v>54</v>
      </c>
      <c r="E176" s="26">
        <v>4671</v>
      </c>
      <c r="F176" s="26">
        <v>876</v>
      </c>
      <c r="G176" s="26">
        <v>366</v>
      </c>
      <c r="H176" s="26">
        <v>51381</v>
      </c>
      <c r="I176" s="26">
        <v>50565</v>
      </c>
      <c r="J176" s="26">
        <v>245</v>
      </c>
      <c r="K176" s="26" t="s">
        <v>157</v>
      </c>
      <c r="L176" s="26" t="s">
        <v>19</v>
      </c>
      <c r="M176" s="30">
        <v>0.11508145034156594</v>
      </c>
    </row>
    <row r="177" spans="1:13" x14ac:dyDescent="0.35">
      <c r="A177" s="28" t="s">
        <v>271</v>
      </c>
      <c r="B177" s="28" t="s">
        <v>31</v>
      </c>
      <c r="C177" s="29">
        <v>45748</v>
      </c>
      <c r="D177" s="28" t="s">
        <v>45</v>
      </c>
      <c r="E177" s="28">
        <v>3430</v>
      </c>
      <c r="F177" s="28">
        <v>566</v>
      </c>
      <c r="G177" s="28">
        <v>164</v>
      </c>
      <c r="H177" s="28">
        <v>48020</v>
      </c>
      <c r="I177" s="28">
        <v>47305</v>
      </c>
      <c r="J177" s="28">
        <v>120</v>
      </c>
      <c r="K177" s="28" t="s">
        <v>154</v>
      </c>
      <c r="L177" s="28" t="s">
        <v>56</v>
      </c>
      <c r="M177" s="31">
        <v>8.6630570595585168E-2</v>
      </c>
    </row>
    <row r="178" spans="1:13" x14ac:dyDescent="0.35">
      <c r="A178" s="26" t="s">
        <v>272</v>
      </c>
      <c r="B178" s="26" t="s">
        <v>30</v>
      </c>
      <c r="C178" s="27">
        <v>45755</v>
      </c>
      <c r="D178" s="26" t="s">
        <v>50</v>
      </c>
      <c r="E178" s="26">
        <v>4501</v>
      </c>
      <c r="F178" s="26">
        <v>375</v>
      </c>
      <c r="G178" s="26">
        <v>323</v>
      </c>
      <c r="H178" s="26">
        <v>22505</v>
      </c>
      <c r="I178" s="26">
        <v>21836</v>
      </c>
      <c r="J178" s="26">
        <v>132</v>
      </c>
      <c r="K178" s="26" t="s">
        <v>157</v>
      </c>
      <c r="L178" s="26" t="s">
        <v>11</v>
      </c>
      <c r="M178" s="30">
        <v>0.23101532992668297</v>
      </c>
    </row>
    <row r="179" spans="1:13" x14ac:dyDescent="0.35">
      <c r="A179" s="28" t="s">
        <v>273</v>
      </c>
      <c r="B179" s="28" t="s">
        <v>33</v>
      </c>
      <c r="C179" s="29">
        <v>45715</v>
      </c>
      <c r="D179" s="28" t="s">
        <v>54</v>
      </c>
      <c r="E179" s="28">
        <v>4934</v>
      </c>
      <c r="F179" s="28">
        <v>971</v>
      </c>
      <c r="G179" s="28">
        <v>156</v>
      </c>
      <c r="H179" s="28">
        <v>39472</v>
      </c>
      <c r="I179" s="28">
        <v>39025</v>
      </c>
      <c r="J179" s="28">
        <v>169</v>
      </c>
      <c r="K179" s="28" t="s">
        <v>157</v>
      </c>
      <c r="L179" s="28" t="s">
        <v>19</v>
      </c>
      <c r="M179" s="31">
        <v>0.15355188488042157</v>
      </c>
    </row>
    <row r="180" spans="1:13" x14ac:dyDescent="0.35">
      <c r="A180" s="26" t="s">
        <v>273</v>
      </c>
      <c r="B180" s="26" t="s">
        <v>33</v>
      </c>
      <c r="C180" s="27">
        <v>45715</v>
      </c>
      <c r="D180" s="26" t="s">
        <v>54</v>
      </c>
      <c r="E180" s="26">
        <v>4934</v>
      </c>
      <c r="F180" s="26">
        <v>971</v>
      </c>
      <c r="G180" s="26">
        <v>156</v>
      </c>
      <c r="H180" s="26">
        <v>39472</v>
      </c>
      <c r="I180" s="26">
        <v>39025</v>
      </c>
      <c r="J180" s="26">
        <v>169</v>
      </c>
      <c r="K180" s="26" t="s">
        <v>155</v>
      </c>
      <c r="L180" s="26" t="s">
        <v>19</v>
      </c>
      <c r="M180" s="30">
        <v>0.15355188488042157</v>
      </c>
    </row>
    <row r="181" spans="1:13" x14ac:dyDescent="0.35">
      <c r="A181" s="28" t="s">
        <v>274</v>
      </c>
      <c r="B181" s="28" t="s">
        <v>32</v>
      </c>
      <c r="C181" s="29">
        <v>45637</v>
      </c>
      <c r="D181" s="28" t="s">
        <v>54</v>
      </c>
      <c r="E181" s="28">
        <v>3239</v>
      </c>
      <c r="F181" s="28">
        <v>43</v>
      </c>
      <c r="G181" s="28">
        <v>211</v>
      </c>
      <c r="H181" s="28">
        <v>22673</v>
      </c>
      <c r="I181" s="28">
        <v>22171</v>
      </c>
      <c r="J181" s="28">
        <v>230</v>
      </c>
      <c r="K181" s="28" t="s">
        <v>157</v>
      </c>
      <c r="L181" s="28" t="s">
        <v>11</v>
      </c>
      <c r="M181" s="31">
        <v>0.15405989502933004</v>
      </c>
    </row>
    <row r="182" spans="1:13" x14ac:dyDescent="0.35">
      <c r="A182" s="26" t="s">
        <v>275</v>
      </c>
      <c r="B182" s="26" t="s">
        <v>32</v>
      </c>
      <c r="C182" s="27">
        <v>45704</v>
      </c>
      <c r="D182" s="26" t="s">
        <v>48</v>
      </c>
      <c r="E182" s="26">
        <v>1076</v>
      </c>
      <c r="F182" s="26">
        <v>313</v>
      </c>
      <c r="G182" s="26">
        <v>306</v>
      </c>
      <c r="H182" s="26">
        <v>11836</v>
      </c>
      <c r="I182" s="26">
        <v>11596</v>
      </c>
      <c r="J182" s="26">
        <v>104</v>
      </c>
      <c r="K182" s="26" t="s">
        <v>154</v>
      </c>
      <c r="L182" s="26" t="s">
        <v>7</v>
      </c>
      <c r="M182" s="30">
        <v>0.14320716458262928</v>
      </c>
    </row>
    <row r="183" spans="1:13" x14ac:dyDescent="0.35">
      <c r="A183" s="28" t="s">
        <v>276</v>
      </c>
      <c r="B183" s="28" t="s">
        <v>30</v>
      </c>
      <c r="C183" s="29">
        <v>45624</v>
      </c>
      <c r="D183" s="28" t="s">
        <v>54</v>
      </c>
      <c r="E183" s="28">
        <v>4771</v>
      </c>
      <c r="F183" s="28">
        <v>818</v>
      </c>
      <c r="G183" s="28">
        <v>56</v>
      </c>
      <c r="H183" s="28">
        <v>57252</v>
      </c>
      <c r="I183" s="28">
        <v>56378</v>
      </c>
      <c r="J183" s="28">
        <v>150</v>
      </c>
      <c r="K183" s="28" t="s">
        <v>154</v>
      </c>
      <c r="L183" s="28" t="s">
        <v>56</v>
      </c>
      <c r="M183" s="31">
        <v>9.859917557465242E-2</v>
      </c>
    </row>
    <row r="184" spans="1:13" x14ac:dyDescent="0.35">
      <c r="A184" s="26" t="s">
        <v>99</v>
      </c>
      <c r="B184" s="26" t="s">
        <v>31</v>
      </c>
      <c r="C184" s="27">
        <v>45608</v>
      </c>
      <c r="D184" s="26" t="s">
        <v>54</v>
      </c>
      <c r="E184" s="26">
        <v>2418</v>
      </c>
      <c r="F184" s="26">
        <v>754</v>
      </c>
      <c r="G184" s="26">
        <v>54</v>
      </c>
      <c r="H184" s="26">
        <v>43524</v>
      </c>
      <c r="I184" s="26">
        <v>42743</v>
      </c>
      <c r="J184" s="26">
        <v>182</v>
      </c>
      <c r="K184" s="26" t="s">
        <v>46</v>
      </c>
      <c r="L184" s="26" t="s">
        <v>7</v>
      </c>
      <c r="M184" s="30">
        <v>7.412002573292896E-2</v>
      </c>
    </row>
    <row r="185" spans="1:13" x14ac:dyDescent="0.35">
      <c r="A185" s="28" t="s">
        <v>100</v>
      </c>
      <c r="B185" s="28" t="s">
        <v>33</v>
      </c>
      <c r="C185" s="29">
        <v>45629</v>
      </c>
      <c r="D185" s="28" t="s">
        <v>58</v>
      </c>
      <c r="E185" s="28">
        <v>3809</v>
      </c>
      <c r="F185" s="28">
        <v>273</v>
      </c>
      <c r="G185" s="28">
        <v>200</v>
      </c>
      <c r="H185" s="28">
        <v>34281</v>
      </c>
      <c r="I185" s="28">
        <v>33534</v>
      </c>
      <c r="J185" s="28">
        <v>83</v>
      </c>
      <c r="K185" s="28" t="s">
        <v>46</v>
      </c>
      <c r="L185" s="28" t="s">
        <v>7</v>
      </c>
      <c r="M185" s="31">
        <v>0.12490884163239112</v>
      </c>
    </row>
    <row r="186" spans="1:13" x14ac:dyDescent="0.35">
      <c r="A186" s="26" t="s">
        <v>277</v>
      </c>
      <c r="B186" s="26" t="s">
        <v>32</v>
      </c>
      <c r="C186" s="27">
        <v>45775</v>
      </c>
      <c r="D186" s="26" t="s">
        <v>54</v>
      </c>
      <c r="E186" s="26">
        <v>3577</v>
      </c>
      <c r="F186" s="26">
        <v>596</v>
      </c>
      <c r="G186" s="26">
        <v>493</v>
      </c>
      <c r="H186" s="26">
        <v>67963</v>
      </c>
      <c r="I186" s="26">
        <v>67839</v>
      </c>
      <c r="J186" s="26">
        <v>53</v>
      </c>
      <c r="K186" s="26" t="s">
        <v>157</v>
      </c>
      <c r="L186" s="26" t="s">
        <v>15</v>
      </c>
      <c r="M186" s="30">
        <v>6.8655003457763777E-2</v>
      </c>
    </row>
    <row r="187" spans="1:13" x14ac:dyDescent="0.35">
      <c r="A187" s="28" t="s">
        <v>278</v>
      </c>
      <c r="B187" s="28" t="s">
        <v>33</v>
      </c>
      <c r="C187" s="29">
        <v>45657</v>
      </c>
      <c r="D187" s="28" t="s">
        <v>58</v>
      </c>
      <c r="E187" s="28">
        <v>1018</v>
      </c>
      <c r="F187" s="28">
        <v>447</v>
      </c>
      <c r="G187" s="28">
        <v>332</v>
      </c>
      <c r="H187" s="28">
        <v>18324</v>
      </c>
      <c r="I187" s="28">
        <v>18164</v>
      </c>
      <c r="J187" s="28">
        <v>38</v>
      </c>
      <c r="K187" s="28" t="s">
        <v>154</v>
      </c>
      <c r="L187" s="28" t="s">
        <v>11</v>
      </c>
      <c r="M187" s="31">
        <v>9.8068107400130972E-2</v>
      </c>
    </row>
    <row r="188" spans="1:13" x14ac:dyDescent="0.35">
      <c r="A188" s="26" t="s">
        <v>101</v>
      </c>
      <c r="B188" s="26" t="s">
        <v>31</v>
      </c>
      <c r="C188" s="27">
        <v>45518</v>
      </c>
      <c r="D188" s="26" t="s">
        <v>52</v>
      </c>
      <c r="E188" s="26">
        <v>3073</v>
      </c>
      <c r="F188" s="26">
        <v>553</v>
      </c>
      <c r="G188" s="26">
        <v>174</v>
      </c>
      <c r="H188" s="26">
        <v>52241</v>
      </c>
      <c r="I188" s="26">
        <v>51605</v>
      </c>
      <c r="J188" s="26">
        <v>246</v>
      </c>
      <c r="K188" s="26" t="s">
        <v>46</v>
      </c>
      <c r="L188" s="26" t="s">
        <v>15</v>
      </c>
      <c r="M188" s="30">
        <v>7.2739802071170159E-2</v>
      </c>
    </row>
    <row r="189" spans="1:13" x14ac:dyDescent="0.35">
      <c r="A189" s="28" t="s">
        <v>279</v>
      </c>
      <c r="B189" s="28" t="s">
        <v>32</v>
      </c>
      <c r="C189" s="29">
        <v>45631</v>
      </c>
      <c r="D189" s="28" t="s">
        <v>58</v>
      </c>
      <c r="E189" s="28">
        <v>1330</v>
      </c>
      <c r="F189" s="28">
        <v>925</v>
      </c>
      <c r="G189" s="28">
        <v>35</v>
      </c>
      <c r="H189" s="28">
        <v>15960</v>
      </c>
      <c r="I189" s="28">
        <v>15379</v>
      </c>
      <c r="J189" s="28">
        <v>229</v>
      </c>
      <c r="K189" s="28" t="s">
        <v>154</v>
      </c>
      <c r="L189" s="28" t="s">
        <v>15</v>
      </c>
      <c r="M189" s="31">
        <v>0.14348370927318296</v>
      </c>
    </row>
    <row r="190" spans="1:13" x14ac:dyDescent="0.35">
      <c r="A190" s="26" t="s">
        <v>102</v>
      </c>
      <c r="B190" s="26" t="s">
        <v>31</v>
      </c>
      <c r="C190" s="27">
        <v>45465</v>
      </c>
      <c r="D190" s="26" t="s">
        <v>54</v>
      </c>
      <c r="E190" s="26">
        <v>3828</v>
      </c>
      <c r="F190" s="26">
        <v>148</v>
      </c>
      <c r="G190" s="26">
        <v>253</v>
      </c>
      <c r="H190" s="26">
        <v>30624</v>
      </c>
      <c r="I190" s="26">
        <v>30229</v>
      </c>
      <c r="J190" s="26">
        <v>235</v>
      </c>
      <c r="K190" s="26" t="s">
        <v>46</v>
      </c>
      <c r="L190" s="26" t="s">
        <v>56</v>
      </c>
      <c r="M190" s="30">
        <v>0.13809430512016718</v>
      </c>
    </row>
    <row r="191" spans="1:13" x14ac:dyDescent="0.35">
      <c r="A191" s="28" t="s">
        <v>280</v>
      </c>
      <c r="B191" s="28" t="s">
        <v>30</v>
      </c>
      <c r="C191" s="29">
        <v>45674</v>
      </c>
      <c r="D191" s="28" t="s">
        <v>48</v>
      </c>
      <c r="E191" s="28">
        <v>142</v>
      </c>
      <c r="F191" s="28">
        <v>784</v>
      </c>
      <c r="G191" s="28">
        <v>183</v>
      </c>
      <c r="H191" s="28">
        <v>1704</v>
      </c>
      <c r="I191" s="28">
        <v>995</v>
      </c>
      <c r="J191" s="28">
        <v>154</v>
      </c>
      <c r="K191" s="28" t="s">
        <v>154</v>
      </c>
      <c r="L191" s="28" t="s">
        <v>19</v>
      </c>
      <c r="M191" s="31">
        <v>0.6508215962441315</v>
      </c>
    </row>
    <row r="192" spans="1:13" x14ac:dyDescent="0.35">
      <c r="A192" s="26" t="s">
        <v>281</v>
      </c>
      <c r="B192" s="26" t="s">
        <v>31</v>
      </c>
      <c r="C192" s="27">
        <v>45463</v>
      </c>
      <c r="D192" s="26" t="s">
        <v>58</v>
      </c>
      <c r="E192" s="26">
        <v>3798</v>
      </c>
      <c r="F192" s="26">
        <v>31</v>
      </c>
      <c r="G192" s="26">
        <v>279</v>
      </c>
      <c r="H192" s="26">
        <v>75960</v>
      </c>
      <c r="I192" s="26">
        <v>75813</v>
      </c>
      <c r="J192" s="26">
        <v>266</v>
      </c>
      <c r="K192" s="26" t="s">
        <v>157</v>
      </c>
      <c r="L192" s="26" t="s">
        <v>7</v>
      </c>
      <c r="M192" s="30">
        <v>5.4081095313322801E-2</v>
      </c>
    </row>
    <row r="193" spans="1:13" x14ac:dyDescent="0.35">
      <c r="A193" s="28" t="s">
        <v>282</v>
      </c>
      <c r="B193" s="28" t="s">
        <v>30</v>
      </c>
      <c r="C193" s="29">
        <v>45483</v>
      </c>
      <c r="D193" s="28" t="s">
        <v>52</v>
      </c>
      <c r="E193" s="28">
        <v>3099</v>
      </c>
      <c r="F193" s="28">
        <v>694</v>
      </c>
      <c r="G193" s="28">
        <v>171</v>
      </c>
      <c r="H193" s="28">
        <v>43386</v>
      </c>
      <c r="I193" s="28">
        <v>42921</v>
      </c>
      <c r="J193" s="28">
        <v>52</v>
      </c>
      <c r="K193" s="28" t="s">
        <v>157</v>
      </c>
      <c r="L193" s="28" t="s">
        <v>15</v>
      </c>
      <c r="M193" s="31">
        <v>9.1365878393951966E-2</v>
      </c>
    </row>
    <row r="194" spans="1:13" x14ac:dyDescent="0.35">
      <c r="A194" s="26" t="s">
        <v>283</v>
      </c>
      <c r="B194" s="26" t="s">
        <v>30</v>
      </c>
      <c r="C194" s="27">
        <v>45603</v>
      </c>
      <c r="D194" s="26" t="s">
        <v>58</v>
      </c>
      <c r="E194" s="26">
        <v>129</v>
      </c>
      <c r="F194" s="26">
        <v>643</v>
      </c>
      <c r="G194" s="26">
        <v>136</v>
      </c>
      <c r="H194" s="26">
        <v>1290</v>
      </c>
      <c r="I194" s="26">
        <v>839</v>
      </c>
      <c r="J194" s="26">
        <v>238</v>
      </c>
      <c r="K194" s="26" t="s">
        <v>157</v>
      </c>
      <c r="L194" s="26" t="s">
        <v>19</v>
      </c>
      <c r="M194" s="30">
        <v>0.70387596899224802</v>
      </c>
    </row>
    <row r="195" spans="1:13" x14ac:dyDescent="0.35">
      <c r="A195" s="28" t="s">
        <v>284</v>
      </c>
      <c r="B195" s="28" t="s">
        <v>31</v>
      </c>
      <c r="C195" s="29">
        <v>45488</v>
      </c>
      <c r="D195" s="28" t="s">
        <v>52</v>
      </c>
      <c r="E195" s="28">
        <v>3796</v>
      </c>
      <c r="F195" s="28">
        <v>667</v>
      </c>
      <c r="G195" s="28">
        <v>395</v>
      </c>
      <c r="H195" s="28">
        <v>64532</v>
      </c>
      <c r="I195" s="28">
        <v>63550</v>
      </c>
      <c r="J195" s="28">
        <v>292</v>
      </c>
      <c r="K195" s="28" t="s">
        <v>157</v>
      </c>
      <c r="L195" s="28" t="s">
        <v>56</v>
      </c>
      <c r="M195" s="31">
        <v>7.5280481001673588E-2</v>
      </c>
    </row>
    <row r="196" spans="1:13" x14ac:dyDescent="0.35">
      <c r="A196" s="26" t="s">
        <v>285</v>
      </c>
      <c r="B196" s="26" t="s">
        <v>33</v>
      </c>
      <c r="C196" s="27">
        <v>45629</v>
      </c>
      <c r="D196" s="26" t="s">
        <v>54</v>
      </c>
      <c r="E196" s="26">
        <v>3711</v>
      </c>
      <c r="F196" s="26">
        <v>352</v>
      </c>
      <c r="G196" s="26">
        <v>290</v>
      </c>
      <c r="H196" s="26">
        <v>48243</v>
      </c>
      <c r="I196" s="26">
        <v>47579</v>
      </c>
      <c r="J196" s="26">
        <v>11</v>
      </c>
      <c r="K196" s="26" t="s">
        <v>157</v>
      </c>
      <c r="L196" s="26" t="s">
        <v>7</v>
      </c>
      <c r="M196" s="30">
        <v>9.023070704558174E-2</v>
      </c>
    </row>
    <row r="197" spans="1:13" x14ac:dyDescent="0.35">
      <c r="A197" s="28" t="s">
        <v>103</v>
      </c>
      <c r="B197" s="28" t="s">
        <v>33</v>
      </c>
      <c r="C197" s="29">
        <v>45737</v>
      </c>
      <c r="D197" s="28" t="s">
        <v>50</v>
      </c>
      <c r="E197" s="28">
        <v>606</v>
      </c>
      <c r="F197" s="28">
        <v>789</v>
      </c>
      <c r="G197" s="28">
        <v>470</v>
      </c>
      <c r="H197" s="28">
        <v>7878</v>
      </c>
      <c r="I197" s="28">
        <v>7389</v>
      </c>
      <c r="J197" s="28">
        <v>239</v>
      </c>
      <c r="K197" s="28" t="s">
        <v>46</v>
      </c>
      <c r="L197" s="28" t="s">
        <v>15</v>
      </c>
      <c r="M197" s="31">
        <v>0.23673521198273673</v>
      </c>
    </row>
    <row r="198" spans="1:13" x14ac:dyDescent="0.35">
      <c r="A198" s="26" t="s">
        <v>286</v>
      </c>
      <c r="B198" s="26" t="s">
        <v>31</v>
      </c>
      <c r="C198" s="27">
        <v>45504</v>
      </c>
      <c r="D198" s="26" t="s">
        <v>50</v>
      </c>
      <c r="E198" s="26">
        <v>4689</v>
      </c>
      <c r="F198" s="26">
        <v>134</v>
      </c>
      <c r="G198" s="26">
        <v>403</v>
      </c>
      <c r="H198" s="26">
        <v>51579</v>
      </c>
      <c r="I198" s="26">
        <v>50924</v>
      </c>
      <c r="J198" s="26">
        <v>173</v>
      </c>
      <c r="K198" s="26" t="s">
        <v>157</v>
      </c>
      <c r="L198" s="26" t="s">
        <v>19</v>
      </c>
      <c r="M198" s="30">
        <v>0.1013203047751992</v>
      </c>
    </row>
    <row r="199" spans="1:13" x14ac:dyDescent="0.35">
      <c r="A199" s="28" t="s">
        <v>287</v>
      </c>
      <c r="B199" s="28" t="s">
        <v>30</v>
      </c>
      <c r="C199" s="29">
        <v>45643</v>
      </c>
      <c r="D199" s="28" t="s">
        <v>45</v>
      </c>
      <c r="E199" s="28">
        <v>360</v>
      </c>
      <c r="F199" s="28">
        <v>590</v>
      </c>
      <c r="G199" s="28">
        <v>393</v>
      </c>
      <c r="H199" s="28">
        <v>4680</v>
      </c>
      <c r="I199" s="28">
        <v>4322</v>
      </c>
      <c r="J199" s="28">
        <v>208</v>
      </c>
      <c r="K199" s="28" t="s">
        <v>154</v>
      </c>
      <c r="L199" s="28" t="s">
        <v>11</v>
      </c>
      <c r="M199" s="31">
        <v>0.28696581196581195</v>
      </c>
    </row>
    <row r="200" spans="1:13" x14ac:dyDescent="0.35">
      <c r="A200" s="26" t="s">
        <v>104</v>
      </c>
      <c r="B200" s="26" t="s">
        <v>32</v>
      </c>
      <c r="C200" s="27">
        <v>45501</v>
      </c>
      <c r="D200" s="26" t="s">
        <v>50</v>
      </c>
      <c r="E200" s="26">
        <v>3215</v>
      </c>
      <c r="F200" s="26">
        <v>960</v>
      </c>
      <c r="G200" s="26">
        <v>202</v>
      </c>
      <c r="H200" s="26">
        <v>32150</v>
      </c>
      <c r="I200" s="26">
        <v>31404</v>
      </c>
      <c r="J200" s="26">
        <v>251</v>
      </c>
      <c r="K200" s="26" t="s">
        <v>46</v>
      </c>
      <c r="L200" s="26" t="s">
        <v>7</v>
      </c>
      <c r="M200" s="30">
        <v>0.13614307931570763</v>
      </c>
    </row>
    <row r="201" spans="1:13" x14ac:dyDescent="0.35">
      <c r="A201" s="28" t="s">
        <v>105</v>
      </c>
      <c r="B201" s="28" t="s">
        <v>30</v>
      </c>
      <c r="C201" s="29">
        <v>45668</v>
      </c>
      <c r="D201" s="28" t="s">
        <v>52</v>
      </c>
      <c r="E201" s="28">
        <v>4523</v>
      </c>
      <c r="F201" s="28">
        <v>61</v>
      </c>
      <c r="G201" s="28">
        <v>157</v>
      </c>
      <c r="H201" s="28">
        <v>49753</v>
      </c>
      <c r="I201" s="28">
        <v>49329</v>
      </c>
      <c r="J201" s="28">
        <v>71</v>
      </c>
      <c r="K201" s="28" t="s">
        <v>46</v>
      </c>
      <c r="L201" s="28" t="s">
        <v>56</v>
      </c>
      <c r="M201" s="31">
        <v>9.5290736237010829E-2</v>
      </c>
    </row>
    <row r="202" spans="1:13" x14ac:dyDescent="0.35">
      <c r="A202" s="26" t="s">
        <v>106</v>
      </c>
      <c r="B202" s="26" t="s">
        <v>31</v>
      </c>
      <c r="C202" s="27">
        <v>45528</v>
      </c>
      <c r="D202" s="26" t="s">
        <v>52</v>
      </c>
      <c r="E202" s="26">
        <v>4292</v>
      </c>
      <c r="F202" s="26">
        <v>51</v>
      </c>
      <c r="G202" s="26">
        <v>392</v>
      </c>
      <c r="H202" s="26">
        <v>55796</v>
      </c>
      <c r="I202" s="26">
        <v>54826</v>
      </c>
      <c r="J202" s="26">
        <v>264</v>
      </c>
      <c r="K202" s="26" t="s">
        <v>46</v>
      </c>
      <c r="L202" s="26" t="s">
        <v>15</v>
      </c>
      <c r="M202" s="30">
        <v>8.4862714173059003E-2</v>
      </c>
    </row>
    <row r="203" spans="1:13" x14ac:dyDescent="0.35">
      <c r="A203" s="28" t="s">
        <v>107</v>
      </c>
      <c r="B203" s="28" t="s">
        <v>32</v>
      </c>
      <c r="C203" s="29">
        <v>45648</v>
      </c>
      <c r="D203" s="28" t="s">
        <v>48</v>
      </c>
      <c r="E203" s="28">
        <v>1644</v>
      </c>
      <c r="F203" s="28">
        <v>546</v>
      </c>
      <c r="G203" s="28">
        <v>150</v>
      </c>
      <c r="H203" s="28">
        <v>27948</v>
      </c>
      <c r="I203" s="28">
        <v>27184</v>
      </c>
      <c r="J203" s="28">
        <v>300</v>
      </c>
      <c r="K203" s="28" t="s">
        <v>46</v>
      </c>
      <c r="L203" s="28" t="s">
        <v>15</v>
      </c>
      <c r="M203" s="31">
        <v>8.3726921425504502E-2</v>
      </c>
    </row>
    <row r="204" spans="1:13" x14ac:dyDescent="0.35">
      <c r="A204" s="26" t="s">
        <v>288</v>
      </c>
      <c r="B204" s="26" t="s">
        <v>33</v>
      </c>
      <c r="C204" s="27">
        <v>45449</v>
      </c>
      <c r="D204" s="26" t="s">
        <v>48</v>
      </c>
      <c r="E204" s="26">
        <v>2728</v>
      </c>
      <c r="F204" s="26">
        <v>533</v>
      </c>
      <c r="G204" s="26">
        <v>215</v>
      </c>
      <c r="H204" s="26">
        <v>40920</v>
      </c>
      <c r="I204" s="26">
        <v>40816</v>
      </c>
      <c r="J204" s="26">
        <v>137</v>
      </c>
      <c r="K204" s="26" t="s">
        <v>154</v>
      </c>
      <c r="L204" s="26" t="s">
        <v>11</v>
      </c>
      <c r="M204" s="30">
        <v>8.4946236559139771E-2</v>
      </c>
    </row>
    <row r="205" spans="1:13" x14ac:dyDescent="0.35">
      <c r="A205" s="28" t="s">
        <v>289</v>
      </c>
      <c r="B205" s="28" t="s">
        <v>31</v>
      </c>
      <c r="C205" s="29">
        <v>45740</v>
      </c>
      <c r="D205" s="28" t="s">
        <v>48</v>
      </c>
      <c r="E205" s="28">
        <v>3360</v>
      </c>
      <c r="F205" s="28">
        <v>525</v>
      </c>
      <c r="G205" s="28">
        <v>500</v>
      </c>
      <c r="H205" s="28">
        <v>60480</v>
      </c>
      <c r="I205" s="28">
        <v>59610</v>
      </c>
      <c r="J205" s="28">
        <v>192</v>
      </c>
      <c r="K205" s="28" t="s">
        <v>157</v>
      </c>
      <c r="L205" s="28" t="s">
        <v>7</v>
      </c>
      <c r="M205" s="31">
        <v>7.2503306878306875E-2</v>
      </c>
    </row>
    <row r="206" spans="1:13" x14ac:dyDescent="0.35">
      <c r="A206" s="26" t="s">
        <v>290</v>
      </c>
      <c r="B206" s="26" t="s">
        <v>33</v>
      </c>
      <c r="C206" s="27">
        <v>45569</v>
      </c>
      <c r="D206" s="26" t="s">
        <v>54</v>
      </c>
      <c r="E206" s="26">
        <v>1963</v>
      </c>
      <c r="F206" s="26">
        <v>213</v>
      </c>
      <c r="G206" s="26">
        <v>19</v>
      </c>
      <c r="H206" s="26">
        <v>39260</v>
      </c>
      <c r="I206" s="26">
        <v>38771</v>
      </c>
      <c r="J206" s="26">
        <v>145</v>
      </c>
      <c r="K206" s="26" t="s">
        <v>154</v>
      </c>
      <c r="L206" s="26" t="s">
        <v>56</v>
      </c>
      <c r="M206" s="30">
        <v>5.5909322465613857E-2</v>
      </c>
    </row>
    <row r="207" spans="1:13" x14ac:dyDescent="0.35">
      <c r="A207" s="28" t="s">
        <v>291</v>
      </c>
      <c r="B207" s="28" t="s">
        <v>33</v>
      </c>
      <c r="C207" s="29">
        <v>45629</v>
      </c>
      <c r="D207" s="28" t="s">
        <v>45</v>
      </c>
      <c r="E207" s="28">
        <v>4285</v>
      </c>
      <c r="F207" s="28">
        <v>886</v>
      </c>
      <c r="G207" s="28">
        <v>376</v>
      </c>
      <c r="H207" s="28">
        <v>55705</v>
      </c>
      <c r="I207" s="28">
        <v>55556</v>
      </c>
      <c r="J207" s="28">
        <v>51</v>
      </c>
      <c r="K207" s="28" t="s">
        <v>154</v>
      </c>
      <c r="L207" s="28" t="s">
        <v>15</v>
      </c>
      <c r="M207" s="31">
        <v>9.9578134817341346E-2</v>
      </c>
    </row>
    <row r="208" spans="1:13" x14ac:dyDescent="0.35">
      <c r="A208" s="26" t="s">
        <v>108</v>
      </c>
      <c r="B208" s="26" t="s">
        <v>30</v>
      </c>
      <c r="C208" s="27">
        <v>45625</v>
      </c>
      <c r="D208" s="26" t="s">
        <v>58</v>
      </c>
      <c r="E208" s="26">
        <v>1176</v>
      </c>
      <c r="F208" s="26">
        <v>464</v>
      </c>
      <c r="G208" s="26">
        <v>394</v>
      </c>
      <c r="H208" s="26">
        <v>14112</v>
      </c>
      <c r="I208" s="26">
        <v>13588</v>
      </c>
      <c r="J208" s="26">
        <v>272</v>
      </c>
      <c r="K208" s="26" t="s">
        <v>46</v>
      </c>
      <c r="L208" s="26" t="s">
        <v>56</v>
      </c>
      <c r="M208" s="30">
        <v>0.1441326530612245</v>
      </c>
    </row>
    <row r="209" spans="1:13" x14ac:dyDescent="0.35">
      <c r="A209" s="28" t="s">
        <v>109</v>
      </c>
      <c r="B209" s="28" t="s">
        <v>32</v>
      </c>
      <c r="C209" s="29">
        <v>45546</v>
      </c>
      <c r="D209" s="28" t="s">
        <v>50</v>
      </c>
      <c r="E209" s="28">
        <v>4858</v>
      </c>
      <c r="F209" s="28">
        <v>317</v>
      </c>
      <c r="G209" s="28">
        <v>129</v>
      </c>
      <c r="H209" s="28">
        <v>53438</v>
      </c>
      <c r="I209" s="28">
        <v>52687</v>
      </c>
      <c r="J209" s="28">
        <v>223</v>
      </c>
      <c r="K209" s="28" t="s">
        <v>46</v>
      </c>
      <c r="L209" s="28" t="s">
        <v>15</v>
      </c>
      <c r="M209" s="31">
        <v>9.9255211647142502E-2</v>
      </c>
    </row>
    <row r="210" spans="1:13" x14ac:dyDescent="0.35">
      <c r="A210" s="26" t="s">
        <v>110</v>
      </c>
      <c r="B210" s="26" t="s">
        <v>33</v>
      </c>
      <c r="C210" s="27">
        <v>45567</v>
      </c>
      <c r="D210" s="26" t="s">
        <v>45</v>
      </c>
      <c r="E210" s="26">
        <v>4350</v>
      </c>
      <c r="F210" s="26">
        <v>771</v>
      </c>
      <c r="G210" s="26">
        <v>7</v>
      </c>
      <c r="H210" s="26">
        <v>60900</v>
      </c>
      <c r="I210" s="26">
        <v>60592</v>
      </c>
      <c r="J210" s="26">
        <v>195</v>
      </c>
      <c r="K210" s="26" t="s">
        <v>46</v>
      </c>
      <c r="L210" s="26" t="s">
        <v>7</v>
      </c>
      <c r="M210" s="30">
        <v>8.4203612479474554E-2</v>
      </c>
    </row>
    <row r="211" spans="1:13" x14ac:dyDescent="0.35">
      <c r="A211" s="28" t="s">
        <v>292</v>
      </c>
      <c r="B211" s="28" t="s">
        <v>30</v>
      </c>
      <c r="C211" s="29">
        <v>45519</v>
      </c>
      <c r="D211" s="28" t="s">
        <v>52</v>
      </c>
      <c r="E211" s="28">
        <v>914</v>
      </c>
      <c r="F211" s="28">
        <v>464</v>
      </c>
      <c r="G211" s="28">
        <v>246</v>
      </c>
      <c r="H211" s="28">
        <v>11882</v>
      </c>
      <c r="I211" s="28">
        <v>11500</v>
      </c>
      <c r="J211" s="28">
        <v>282</v>
      </c>
      <c r="K211" s="28" t="s">
        <v>154</v>
      </c>
      <c r="L211" s="28" t="s">
        <v>19</v>
      </c>
      <c r="M211" s="31">
        <v>0.13667732704931829</v>
      </c>
    </row>
    <row r="212" spans="1:13" x14ac:dyDescent="0.35">
      <c r="A212" s="26" t="s">
        <v>292</v>
      </c>
      <c r="B212" s="26" t="s">
        <v>30</v>
      </c>
      <c r="C212" s="27">
        <v>45519</v>
      </c>
      <c r="D212" s="26" t="s">
        <v>52</v>
      </c>
      <c r="E212" s="26">
        <v>914</v>
      </c>
      <c r="F212" s="26">
        <v>464</v>
      </c>
      <c r="G212" s="26">
        <v>246</v>
      </c>
      <c r="H212" s="26">
        <v>11882</v>
      </c>
      <c r="I212" s="26">
        <v>11500</v>
      </c>
      <c r="J212" s="26">
        <v>282</v>
      </c>
      <c r="K212" s="26" t="s">
        <v>157</v>
      </c>
      <c r="L212" s="26" t="s">
        <v>19</v>
      </c>
      <c r="M212" s="30">
        <v>0.13667732704931829</v>
      </c>
    </row>
    <row r="213" spans="1:13" x14ac:dyDescent="0.35">
      <c r="A213" s="28" t="s">
        <v>292</v>
      </c>
      <c r="B213" s="28" t="s">
        <v>30</v>
      </c>
      <c r="C213" s="29">
        <v>45519</v>
      </c>
      <c r="D213" s="28" t="s">
        <v>52</v>
      </c>
      <c r="E213" s="28">
        <v>914</v>
      </c>
      <c r="F213" s="28">
        <v>464</v>
      </c>
      <c r="G213" s="28">
        <v>246</v>
      </c>
      <c r="H213" s="28">
        <v>11882</v>
      </c>
      <c r="I213" s="28">
        <v>11500</v>
      </c>
      <c r="J213" s="28">
        <v>282</v>
      </c>
      <c r="K213" s="28" t="s">
        <v>155</v>
      </c>
      <c r="L213" s="28" t="s">
        <v>19</v>
      </c>
      <c r="M213" s="31">
        <v>0.13667732704931829</v>
      </c>
    </row>
    <row r="214" spans="1:13" x14ac:dyDescent="0.35">
      <c r="A214" s="26" t="s">
        <v>111</v>
      </c>
      <c r="B214" s="26" t="s">
        <v>30</v>
      </c>
      <c r="C214" s="27">
        <v>45645</v>
      </c>
      <c r="D214" s="26" t="s">
        <v>54</v>
      </c>
      <c r="E214" s="26">
        <v>1813</v>
      </c>
      <c r="F214" s="26">
        <v>623</v>
      </c>
      <c r="G214" s="26">
        <v>72</v>
      </c>
      <c r="H214" s="26">
        <v>19943</v>
      </c>
      <c r="I214" s="26">
        <v>18959</v>
      </c>
      <c r="J214" s="26">
        <v>85</v>
      </c>
      <c r="K214" s="26" t="s">
        <v>46</v>
      </c>
      <c r="L214" s="26" t="s">
        <v>15</v>
      </c>
      <c r="M214" s="30">
        <v>0.12575841147269717</v>
      </c>
    </row>
    <row r="215" spans="1:13" x14ac:dyDescent="0.35">
      <c r="A215" s="28" t="s">
        <v>112</v>
      </c>
      <c r="B215" s="28" t="s">
        <v>32</v>
      </c>
      <c r="C215" s="29">
        <v>45587</v>
      </c>
      <c r="D215" s="28" t="s">
        <v>48</v>
      </c>
      <c r="E215" s="28">
        <v>4782</v>
      </c>
      <c r="F215" s="28">
        <v>721</v>
      </c>
      <c r="G215" s="28">
        <v>82</v>
      </c>
      <c r="H215" s="28">
        <v>86076</v>
      </c>
      <c r="I215" s="28">
        <v>85339</v>
      </c>
      <c r="J215" s="28">
        <v>19</v>
      </c>
      <c r="K215" s="28" t="s">
        <v>46</v>
      </c>
      <c r="L215" s="28" t="s">
        <v>7</v>
      </c>
      <c r="M215" s="31">
        <v>6.4884520656164318E-2</v>
      </c>
    </row>
    <row r="216" spans="1:13" x14ac:dyDescent="0.35">
      <c r="A216" s="26" t="s">
        <v>293</v>
      </c>
      <c r="B216" s="26" t="s">
        <v>32</v>
      </c>
      <c r="C216" s="27">
        <v>45549</v>
      </c>
      <c r="D216" s="26" t="s">
        <v>50</v>
      </c>
      <c r="E216" s="26">
        <v>1048</v>
      </c>
      <c r="F216" s="26">
        <v>374</v>
      </c>
      <c r="G216" s="26">
        <v>450</v>
      </c>
      <c r="H216" s="26">
        <v>9432</v>
      </c>
      <c r="I216" s="26">
        <v>8882</v>
      </c>
      <c r="J216" s="26">
        <v>158</v>
      </c>
      <c r="K216" s="26" t="s">
        <v>157</v>
      </c>
      <c r="L216" s="26" t="s">
        <v>15</v>
      </c>
      <c r="M216" s="30">
        <v>0.19847328244274809</v>
      </c>
    </row>
    <row r="217" spans="1:13" x14ac:dyDescent="0.35">
      <c r="A217" s="28" t="s">
        <v>294</v>
      </c>
      <c r="B217" s="28" t="s">
        <v>33</v>
      </c>
      <c r="C217" s="29">
        <v>45626</v>
      </c>
      <c r="D217" s="28" t="s">
        <v>52</v>
      </c>
      <c r="E217" s="28">
        <v>2509</v>
      </c>
      <c r="F217" s="28">
        <v>324</v>
      </c>
      <c r="G217" s="28">
        <v>171</v>
      </c>
      <c r="H217" s="28">
        <v>35126</v>
      </c>
      <c r="I217" s="28">
        <v>34685</v>
      </c>
      <c r="J217" s="28">
        <v>277</v>
      </c>
      <c r="K217" s="28" t="s">
        <v>157</v>
      </c>
      <c r="L217" s="28" t="s">
        <v>11</v>
      </c>
      <c r="M217" s="31">
        <v>8.5520696919660646E-2</v>
      </c>
    </row>
    <row r="218" spans="1:13" x14ac:dyDescent="0.35">
      <c r="A218" s="26" t="s">
        <v>295</v>
      </c>
      <c r="B218" s="26" t="s">
        <v>31</v>
      </c>
      <c r="C218" s="27">
        <v>45754</v>
      </c>
      <c r="D218" s="26" t="s">
        <v>48</v>
      </c>
      <c r="E218" s="26">
        <v>3718</v>
      </c>
      <c r="F218" s="26">
        <v>385</v>
      </c>
      <c r="G218" s="26">
        <v>310</v>
      </c>
      <c r="H218" s="26">
        <v>70642</v>
      </c>
      <c r="I218" s="26">
        <v>69749</v>
      </c>
      <c r="J218" s="26">
        <v>233</v>
      </c>
      <c r="K218" s="26" t="s">
        <v>157</v>
      </c>
      <c r="L218" s="26" t="s">
        <v>11</v>
      </c>
      <c r="M218" s="30">
        <v>6.246991874522239E-2</v>
      </c>
    </row>
    <row r="219" spans="1:13" x14ac:dyDescent="0.35">
      <c r="A219" s="28" t="s">
        <v>113</v>
      </c>
      <c r="B219" s="28" t="s">
        <v>32</v>
      </c>
      <c r="C219" s="29">
        <v>45672</v>
      </c>
      <c r="D219" s="28" t="s">
        <v>48</v>
      </c>
      <c r="E219" s="28">
        <v>802</v>
      </c>
      <c r="F219" s="28">
        <v>262</v>
      </c>
      <c r="G219" s="28">
        <v>244</v>
      </c>
      <c r="H219" s="28">
        <v>14436</v>
      </c>
      <c r="I219" s="28">
        <v>14280</v>
      </c>
      <c r="J219" s="28">
        <v>49</v>
      </c>
      <c r="K219" s="28" t="s">
        <v>46</v>
      </c>
      <c r="L219" s="28" t="s">
        <v>7</v>
      </c>
      <c r="M219" s="31">
        <v>9.0606816292601824E-2</v>
      </c>
    </row>
    <row r="220" spans="1:13" x14ac:dyDescent="0.35">
      <c r="A220" s="26" t="s">
        <v>114</v>
      </c>
      <c r="B220" s="26" t="s">
        <v>31</v>
      </c>
      <c r="C220" s="27">
        <v>45445</v>
      </c>
      <c r="D220" s="26" t="s">
        <v>50</v>
      </c>
      <c r="E220" s="26">
        <v>1871</v>
      </c>
      <c r="F220" s="26">
        <v>252</v>
      </c>
      <c r="G220" s="26">
        <v>335</v>
      </c>
      <c r="H220" s="26">
        <v>29936</v>
      </c>
      <c r="I220" s="26">
        <v>29576</v>
      </c>
      <c r="J220" s="26">
        <v>288</v>
      </c>
      <c r="K220" s="26" t="s">
        <v>46</v>
      </c>
      <c r="L220" s="26" t="s">
        <v>15</v>
      </c>
      <c r="M220" s="30">
        <v>8.2108498129342594E-2</v>
      </c>
    </row>
    <row r="221" spans="1:13" x14ac:dyDescent="0.35">
      <c r="A221" s="28" t="s">
        <v>296</v>
      </c>
      <c r="B221" s="28" t="s">
        <v>30</v>
      </c>
      <c r="C221" s="29">
        <v>45617</v>
      </c>
      <c r="D221" s="28" t="s">
        <v>52</v>
      </c>
      <c r="E221" s="28">
        <v>3773</v>
      </c>
      <c r="F221" s="28">
        <v>299</v>
      </c>
      <c r="G221" s="28">
        <v>38</v>
      </c>
      <c r="H221" s="28">
        <v>71687</v>
      </c>
      <c r="I221" s="28">
        <v>71447</v>
      </c>
      <c r="J221" s="28">
        <v>286</v>
      </c>
      <c r="K221" s="28" t="s">
        <v>154</v>
      </c>
      <c r="L221" s="28" t="s">
        <v>7</v>
      </c>
      <c r="M221" s="31">
        <v>5.7332570758993957E-2</v>
      </c>
    </row>
    <row r="222" spans="1:13" x14ac:dyDescent="0.35">
      <c r="A222" s="26" t="s">
        <v>297</v>
      </c>
      <c r="B222" s="26" t="s">
        <v>30</v>
      </c>
      <c r="C222" s="27">
        <v>45658</v>
      </c>
      <c r="D222" s="26" t="s">
        <v>52</v>
      </c>
      <c r="E222" s="26">
        <v>2234</v>
      </c>
      <c r="F222" s="26">
        <v>653</v>
      </c>
      <c r="G222" s="26">
        <v>432</v>
      </c>
      <c r="H222" s="26">
        <v>11170</v>
      </c>
      <c r="I222" s="26">
        <v>10569</v>
      </c>
      <c r="J222" s="26">
        <v>198</v>
      </c>
      <c r="K222" s="26" t="s">
        <v>154</v>
      </c>
      <c r="L222" s="26" t="s">
        <v>15</v>
      </c>
      <c r="M222" s="30">
        <v>0.29713518352730528</v>
      </c>
    </row>
    <row r="223" spans="1:13" x14ac:dyDescent="0.35">
      <c r="A223" s="28" t="s">
        <v>298</v>
      </c>
      <c r="B223" s="28" t="s">
        <v>32</v>
      </c>
      <c r="C223" s="29">
        <v>45771</v>
      </c>
      <c r="D223" s="28" t="s">
        <v>58</v>
      </c>
      <c r="E223" s="28">
        <v>3820</v>
      </c>
      <c r="F223" s="28">
        <v>697</v>
      </c>
      <c r="G223" s="28">
        <v>268</v>
      </c>
      <c r="H223" s="28">
        <v>45840</v>
      </c>
      <c r="I223" s="28">
        <v>45631</v>
      </c>
      <c r="J223" s="28">
        <v>171</v>
      </c>
      <c r="K223" s="28" t="s">
        <v>157</v>
      </c>
      <c r="L223" s="28" t="s">
        <v>19</v>
      </c>
      <c r="M223" s="31">
        <v>0.1043848167539267</v>
      </c>
    </row>
    <row r="224" spans="1:13" x14ac:dyDescent="0.35">
      <c r="A224" s="26" t="s">
        <v>298</v>
      </c>
      <c r="B224" s="26" t="s">
        <v>32</v>
      </c>
      <c r="C224" s="27">
        <v>45771</v>
      </c>
      <c r="D224" s="26" t="s">
        <v>58</v>
      </c>
      <c r="E224" s="26">
        <v>3820</v>
      </c>
      <c r="F224" s="26">
        <v>697</v>
      </c>
      <c r="G224" s="26">
        <v>268</v>
      </c>
      <c r="H224" s="26">
        <v>45840</v>
      </c>
      <c r="I224" s="26">
        <v>45631</v>
      </c>
      <c r="J224" s="26">
        <v>171</v>
      </c>
      <c r="K224" s="26" t="s">
        <v>18</v>
      </c>
      <c r="L224" s="26" t="s">
        <v>19</v>
      </c>
      <c r="M224" s="30">
        <v>0.1043848167539267</v>
      </c>
    </row>
    <row r="225" spans="1:13" x14ac:dyDescent="0.35">
      <c r="A225" s="28" t="s">
        <v>115</v>
      </c>
      <c r="B225" s="28" t="s">
        <v>32</v>
      </c>
      <c r="C225" s="29">
        <v>45467</v>
      </c>
      <c r="D225" s="28" t="s">
        <v>54</v>
      </c>
      <c r="E225" s="28">
        <v>941</v>
      </c>
      <c r="F225" s="28">
        <v>121</v>
      </c>
      <c r="G225" s="28">
        <v>458</v>
      </c>
      <c r="H225" s="28">
        <v>14115</v>
      </c>
      <c r="I225" s="28">
        <v>13838</v>
      </c>
      <c r="J225" s="28">
        <v>87</v>
      </c>
      <c r="K225" s="28" t="s">
        <v>46</v>
      </c>
      <c r="L225" s="28" t="s">
        <v>7</v>
      </c>
      <c r="M225" s="31">
        <v>0.10768685795253276</v>
      </c>
    </row>
    <row r="226" spans="1:13" x14ac:dyDescent="0.35">
      <c r="A226" s="26" t="s">
        <v>299</v>
      </c>
      <c r="B226" s="26" t="s">
        <v>32</v>
      </c>
      <c r="C226" s="27">
        <v>45655</v>
      </c>
      <c r="D226" s="26" t="s">
        <v>52</v>
      </c>
      <c r="E226" s="26">
        <v>4274</v>
      </c>
      <c r="F226" s="26">
        <v>340</v>
      </c>
      <c r="G226" s="26">
        <v>281</v>
      </c>
      <c r="H226" s="26">
        <v>34192</v>
      </c>
      <c r="I226" s="26">
        <v>33446</v>
      </c>
      <c r="J226" s="26">
        <v>129</v>
      </c>
      <c r="K226" s="26" t="s">
        <v>157</v>
      </c>
      <c r="L226" s="26" t="s">
        <v>15</v>
      </c>
      <c r="M226" s="30">
        <v>0.14316214319138981</v>
      </c>
    </row>
    <row r="227" spans="1:13" x14ac:dyDescent="0.35">
      <c r="A227" s="28" t="s">
        <v>299</v>
      </c>
      <c r="B227" s="28" t="s">
        <v>32</v>
      </c>
      <c r="C227" s="29">
        <v>45655</v>
      </c>
      <c r="D227" s="28" t="s">
        <v>52</v>
      </c>
      <c r="E227" s="28">
        <v>4274</v>
      </c>
      <c r="F227" s="28">
        <v>340</v>
      </c>
      <c r="G227" s="28">
        <v>281</v>
      </c>
      <c r="H227" s="28">
        <v>34192</v>
      </c>
      <c r="I227" s="28">
        <v>33446</v>
      </c>
      <c r="J227" s="28">
        <v>129</v>
      </c>
      <c r="K227" s="28" t="s">
        <v>18</v>
      </c>
      <c r="L227" s="28" t="s">
        <v>15</v>
      </c>
      <c r="M227" s="31">
        <v>0.14316214319138981</v>
      </c>
    </row>
    <row r="228" spans="1:13" x14ac:dyDescent="0.35">
      <c r="A228" s="26" t="s">
        <v>300</v>
      </c>
      <c r="B228" s="26" t="s">
        <v>33</v>
      </c>
      <c r="C228" s="27">
        <v>45467</v>
      </c>
      <c r="D228" s="26" t="s">
        <v>58</v>
      </c>
      <c r="E228" s="26">
        <v>2949</v>
      </c>
      <c r="F228" s="26">
        <v>476</v>
      </c>
      <c r="G228" s="26">
        <v>403</v>
      </c>
      <c r="H228" s="26">
        <v>44235</v>
      </c>
      <c r="I228" s="26">
        <v>43705</v>
      </c>
      <c r="J228" s="26">
        <v>135</v>
      </c>
      <c r="K228" s="26" t="s">
        <v>157</v>
      </c>
      <c r="L228" s="26" t="s">
        <v>11</v>
      </c>
      <c r="M228" s="30">
        <v>8.6537809426924378E-2</v>
      </c>
    </row>
    <row r="229" spans="1:13" x14ac:dyDescent="0.35">
      <c r="A229" s="28" t="s">
        <v>301</v>
      </c>
      <c r="B229" s="28" t="s">
        <v>32</v>
      </c>
      <c r="C229" s="29">
        <v>45735</v>
      </c>
      <c r="D229" s="28" t="s">
        <v>58</v>
      </c>
      <c r="E229" s="28">
        <v>3160</v>
      </c>
      <c r="F229" s="28">
        <v>204</v>
      </c>
      <c r="G229" s="28">
        <v>297</v>
      </c>
      <c r="H229" s="28">
        <v>44240</v>
      </c>
      <c r="I229" s="28">
        <v>43666</v>
      </c>
      <c r="J229" s="28">
        <v>49</v>
      </c>
      <c r="K229" s="28" t="s">
        <v>154</v>
      </c>
      <c r="L229" s="28" t="s">
        <v>19</v>
      </c>
      <c r="M229" s="31">
        <v>8.2753164556962022E-2</v>
      </c>
    </row>
    <row r="230" spans="1:13" x14ac:dyDescent="0.35">
      <c r="A230" s="26" t="s">
        <v>301</v>
      </c>
      <c r="B230" s="26" t="s">
        <v>32</v>
      </c>
      <c r="C230" s="27">
        <v>45735</v>
      </c>
      <c r="D230" s="26" t="s">
        <v>58</v>
      </c>
      <c r="E230" s="26">
        <v>3160</v>
      </c>
      <c r="F230" s="26">
        <v>204</v>
      </c>
      <c r="G230" s="26">
        <v>297</v>
      </c>
      <c r="H230" s="26">
        <v>44240</v>
      </c>
      <c r="I230" s="26">
        <v>43666</v>
      </c>
      <c r="J230" s="26">
        <v>49</v>
      </c>
      <c r="K230" s="26" t="s">
        <v>155</v>
      </c>
      <c r="L230" s="26" t="s">
        <v>19</v>
      </c>
      <c r="M230" s="30">
        <v>8.2753164556962022E-2</v>
      </c>
    </row>
    <row r="231" spans="1:13" x14ac:dyDescent="0.35">
      <c r="A231" s="28" t="s">
        <v>302</v>
      </c>
      <c r="B231" s="28" t="s">
        <v>33</v>
      </c>
      <c r="C231" s="29">
        <v>45707</v>
      </c>
      <c r="D231" s="28" t="s">
        <v>50</v>
      </c>
      <c r="E231" s="28">
        <v>257</v>
      </c>
      <c r="F231" s="28">
        <v>966</v>
      </c>
      <c r="G231" s="28">
        <v>398</v>
      </c>
      <c r="H231" s="28">
        <v>3341</v>
      </c>
      <c r="I231" s="28">
        <v>2753</v>
      </c>
      <c r="J231" s="28">
        <v>287</v>
      </c>
      <c r="K231" s="28" t="s">
        <v>154</v>
      </c>
      <c r="L231" s="28" t="s">
        <v>7</v>
      </c>
      <c r="M231" s="31">
        <v>0.48518407662376534</v>
      </c>
    </row>
    <row r="232" spans="1:13" x14ac:dyDescent="0.35">
      <c r="A232" s="26" t="s">
        <v>303</v>
      </c>
      <c r="B232" s="26" t="s">
        <v>32</v>
      </c>
      <c r="C232" s="27">
        <v>45491</v>
      </c>
      <c r="D232" s="26" t="s">
        <v>52</v>
      </c>
      <c r="E232" s="26">
        <v>2120</v>
      </c>
      <c r="F232" s="26">
        <v>38</v>
      </c>
      <c r="G232" s="26">
        <v>212</v>
      </c>
      <c r="H232" s="26">
        <v>12720</v>
      </c>
      <c r="I232" s="26">
        <v>12564</v>
      </c>
      <c r="J232" s="26">
        <v>21</v>
      </c>
      <c r="K232" s="26" t="s">
        <v>154</v>
      </c>
      <c r="L232" s="26" t="s">
        <v>19</v>
      </c>
      <c r="M232" s="30">
        <v>0.18632075471698112</v>
      </c>
    </row>
    <row r="233" spans="1:13" x14ac:dyDescent="0.35">
      <c r="A233" s="28" t="s">
        <v>304</v>
      </c>
      <c r="B233" s="28" t="s">
        <v>33</v>
      </c>
      <c r="C233" s="29">
        <v>45719</v>
      </c>
      <c r="D233" s="28" t="s">
        <v>58</v>
      </c>
      <c r="E233" s="28">
        <v>3874</v>
      </c>
      <c r="F233" s="28">
        <v>884</v>
      </c>
      <c r="G233" s="28">
        <v>19</v>
      </c>
      <c r="H233" s="28">
        <v>38740</v>
      </c>
      <c r="I233" s="28">
        <v>38552</v>
      </c>
      <c r="J233" s="28">
        <v>219</v>
      </c>
      <c r="K233" s="28" t="s">
        <v>157</v>
      </c>
      <c r="L233" s="28" t="s">
        <v>11</v>
      </c>
      <c r="M233" s="31">
        <v>0.123309241094476</v>
      </c>
    </row>
    <row r="234" spans="1:13" x14ac:dyDescent="0.35">
      <c r="A234" s="26" t="s">
        <v>116</v>
      </c>
      <c r="B234" s="26" t="s">
        <v>31</v>
      </c>
      <c r="C234" s="27">
        <v>45778</v>
      </c>
      <c r="D234" s="26" t="s">
        <v>52</v>
      </c>
      <c r="E234" s="26">
        <v>2696</v>
      </c>
      <c r="F234" s="26">
        <v>628</v>
      </c>
      <c r="G234" s="26">
        <v>443</v>
      </c>
      <c r="H234" s="26">
        <v>45832</v>
      </c>
      <c r="I234" s="26">
        <v>45632</v>
      </c>
      <c r="J234" s="26">
        <v>248</v>
      </c>
      <c r="K234" s="26" t="s">
        <v>46</v>
      </c>
      <c r="L234" s="26" t="s">
        <v>19</v>
      </c>
      <c r="M234" s="30">
        <v>8.21914819340199E-2</v>
      </c>
    </row>
    <row r="235" spans="1:13" x14ac:dyDescent="0.35">
      <c r="A235" s="28" t="s">
        <v>305</v>
      </c>
      <c r="B235" s="28" t="s">
        <v>30</v>
      </c>
      <c r="C235" s="29">
        <v>45649</v>
      </c>
      <c r="D235" s="28" t="s">
        <v>50</v>
      </c>
      <c r="E235" s="28">
        <v>521</v>
      </c>
      <c r="F235" s="28">
        <v>746</v>
      </c>
      <c r="G235" s="28">
        <v>315</v>
      </c>
      <c r="H235" s="28">
        <v>4168</v>
      </c>
      <c r="I235" s="28">
        <v>3399</v>
      </c>
      <c r="J235" s="28">
        <v>282</v>
      </c>
      <c r="K235" s="28" t="s">
        <v>154</v>
      </c>
      <c r="L235" s="28" t="s">
        <v>11</v>
      </c>
      <c r="M235" s="31">
        <v>0.37955854126679461</v>
      </c>
    </row>
    <row r="236" spans="1:13" x14ac:dyDescent="0.35">
      <c r="A236" s="26" t="s">
        <v>117</v>
      </c>
      <c r="B236" s="26" t="s">
        <v>31</v>
      </c>
      <c r="C236" s="27">
        <v>45783</v>
      </c>
      <c r="D236" s="26" t="s">
        <v>50</v>
      </c>
      <c r="E236" s="26">
        <v>4872</v>
      </c>
      <c r="F236" s="26">
        <v>925</v>
      </c>
      <c r="G236" s="26">
        <v>176</v>
      </c>
      <c r="H236" s="26">
        <v>82824</v>
      </c>
      <c r="I236" s="26">
        <v>82543</v>
      </c>
      <c r="J236" s="26">
        <v>89</v>
      </c>
      <c r="K236" s="26" t="s">
        <v>46</v>
      </c>
      <c r="L236" s="26" t="s">
        <v>11</v>
      </c>
      <c r="M236" s="30">
        <v>7.2116777745580993E-2</v>
      </c>
    </row>
    <row r="237" spans="1:13" x14ac:dyDescent="0.35">
      <c r="A237" s="28" t="s">
        <v>118</v>
      </c>
      <c r="B237" s="28" t="s">
        <v>33</v>
      </c>
      <c r="C237" s="29">
        <v>45502</v>
      </c>
      <c r="D237" s="28" t="s">
        <v>45</v>
      </c>
      <c r="E237" s="28">
        <v>1509</v>
      </c>
      <c r="F237" s="28">
        <v>88</v>
      </c>
      <c r="G237" s="28">
        <v>163</v>
      </c>
      <c r="H237" s="28">
        <v>30180</v>
      </c>
      <c r="I237" s="28">
        <v>29689</v>
      </c>
      <c r="J237" s="28">
        <v>119</v>
      </c>
      <c r="K237" s="28" t="s">
        <v>46</v>
      </c>
      <c r="L237" s="28" t="s">
        <v>11</v>
      </c>
      <c r="M237" s="31">
        <v>5.8316766070245198E-2</v>
      </c>
    </row>
    <row r="238" spans="1:13" x14ac:dyDescent="0.35">
      <c r="A238" s="26" t="s">
        <v>306</v>
      </c>
      <c r="B238" s="26" t="s">
        <v>31</v>
      </c>
      <c r="C238" s="27">
        <v>45629</v>
      </c>
      <c r="D238" s="26" t="s">
        <v>50</v>
      </c>
      <c r="E238" s="26">
        <v>4606</v>
      </c>
      <c r="F238" s="26">
        <v>931</v>
      </c>
      <c r="G238" s="26">
        <v>230</v>
      </c>
      <c r="H238" s="26">
        <v>92120</v>
      </c>
      <c r="I238" s="26">
        <v>91440</v>
      </c>
      <c r="J238" s="26">
        <v>56</v>
      </c>
      <c r="K238" s="26" t="s">
        <v>157</v>
      </c>
      <c r="L238" s="26" t="s">
        <v>56</v>
      </c>
      <c r="M238" s="30">
        <v>6.2603126356925748E-2</v>
      </c>
    </row>
    <row r="239" spans="1:13" x14ac:dyDescent="0.35">
      <c r="A239" s="28" t="s">
        <v>307</v>
      </c>
      <c r="B239" s="28" t="s">
        <v>31</v>
      </c>
      <c r="C239" s="29">
        <v>45454</v>
      </c>
      <c r="D239" s="28" t="s">
        <v>52</v>
      </c>
      <c r="E239" s="28">
        <v>1869</v>
      </c>
      <c r="F239" s="28">
        <v>453</v>
      </c>
      <c r="G239" s="28">
        <v>490</v>
      </c>
      <c r="H239" s="28">
        <v>14952</v>
      </c>
      <c r="I239" s="28">
        <v>14309</v>
      </c>
      <c r="J239" s="28">
        <v>275</v>
      </c>
      <c r="K239" s="28" t="s">
        <v>157</v>
      </c>
      <c r="L239" s="28" t="s">
        <v>19</v>
      </c>
      <c r="M239" s="31">
        <v>0.18806848582129479</v>
      </c>
    </row>
    <row r="240" spans="1:13" x14ac:dyDescent="0.35">
      <c r="A240" s="26" t="s">
        <v>308</v>
      </c>
      <c r="B240" s="26" t="s">
        <v>32</v>
      </c>
      <c r="C240" s="27">
        <v>45685</v>
      </c>
      <c r="D240" s="26" t="s">
        <v>48</v>
      </c>
      <c r="E240" s="26">
        <v>1188</v>
      </c>
      <c r="F240" s="26">
        <v>470</v>
      </c>
      <c r="G240" s="26">
        <v>174</v>
      </c>
      <c r="H240" s="26">
        <v>7128</v>
      </c>
      <c r="I240" s="26">
        <v>6145</v>
      </c>
      <c r="J240" s="26">
        <v>270</v>
      </c>
      <c r="K240" s="26" t="s">
        <v>157</v>
      </c>
      <c r="L240" s="26" t="s">
        <v>19</v>
      </c>
      <c r="M240" s="30">
        <v>0.25701459034792368</v>
      </c>
    </row>
    <row r="241" spans="1:13" x14ac:dyDescent="0.35">
      <c r="A241" s="28" t="s">
        <v>119</v>
      </c>
      <c r="B241" s="28" t="s">
        <v>30</v>
      </c>
      <c r="C241" s="29">
        <v>45445</v>
      </c>
      <c r="D241" s="28" t="s">
        <v>45</v>
      </c>
      <c r="E241" s="28">
        <v>84</v>
      </c>
      <c r="F241" s="28">
        <v>897</v>
      </c>
      <c r="G241" s="28">
        <v>85</v>
      </c>
      <c r="H241" s="28">
        <v>588</v>
      </c>
      <c r="I241" s="28">
        <v>8</v>
      </c>
      <c r="J241" s="28">
        <v>12</v>
      </c>
      <c r="K241" s="28" t="s">
        <v>46</v>
      </c>
      <c r="L241" s="28" t="s">
        <v>56</v>
      </c>
      <c r="M241" s="31">
        <v>1.8129251700680271</v>
      </c>
    </row>
    <row r="242" spans="1:13" x14ac:dyDescent="0.35">
      <c r="A242" s="26" t="s">
        <v>309</v>
      </c>
      <c r="B242" s="26" t="s">
        <v>31</v>
      </c>
      <c r="C242" s="27">
        <v>45739</v>
      </c>
      <c r="D242" s="26" t="s">
        <v>58</v>
      </c>
      <c r="E242" s="26">
        <v>4453</v>
      </c>
      <c r="F242" s="26">
        <v>111</v>
      </c>
      <c r="G242" s="26">
        <v>420</v>
      </c>
      <c r="H242" s="26">
        <v>31171</v>
      </c>
      <c r="I242" s="26">
        <v>30565</v>
      </c>
      <c r="J242" s="26">
        <v>23</v>
      </c>
      <c r="K242" s="26" t="s">
        <v>157</v>
      </c>
      <c r="L242" s="26" t="s">
        <v>56</v>
      </c>
      <c r="M242" s="30">
        <v>0.15989220750056141</v>
      </c>
    </row>
    <row r="243" spans="1:13" x14ac:dyDescent="0.35">
      <c r="A243" s="28" t="s">
        <v>310</v>
      </c>
      <c r="B243" s="28" t="s">
        <v>31</v>
      </c>
      <c r="C243" s="29">
        <v>45573</v>
      </c>
      <c r="D243" s="28" t="s">
        <v>48</v>
      </c>
      <c r="E243" s="28">
        <v>1814</v>
      </c>
      <c r="F243" s="28">
        <v>653</v>
      </c>
      <c r="G243" s="28">
        <v>363</v>
      </c>
      <c r="H243" s="28">
        <v>25396</v>
      </c>
      <c r="I243" s="28">
        <v>25286</v>
      </c>
      <c r="J243" s="28">
        <v>39</v>
      </c>
      <c r="K243" s="28" t="s">
        <v>154</v>
      </c>
      <c r="L243" s="28" t="s">
        <v>7</v>
      </c>
      <c r="M243" s="31">
        <v>0.11143487163332808</v>
      </c>
    </row>
    <row r="244" spans="1:13" x14ac:dyDescent="0.35">
      <c r="A244" s="26" t="s">
        <v>310</v>
      </c>
      <c r="B244" s="26" t="s">
        <v>31</v>
      </c>
      <c r="C244" s="27">
        <v>45573</v>
      </c>
      <c r="D244" s="26" t="s">
        <v>48</v>
      </c>
      <c r="E244" s="26">
        <v>1814</v>
      </c>
      <c r="F244" s="26">
        <v>653</v>
      </c>
      <c r="G244" s="26">
        <v>363</v>
      </c>
      <c r="H244" s="26">
        <v>25396</v>
      </c>
      <c r="I244" s="26">
        <v>25286</v>
      </c>
      <c r="J244" s="26">
        <v>39</v>
      </c>
      <c r="K244" s="26" t="s">
        <v>18</v>
      </c>
      <c r="L244" s="26" t="s">
        <v>7</v>
      </c>
      <c r="M244" s="30">
        <v>0.11143487163332808</v>
      </c>
    </row>
    <row r="245" spans="1:13" x14ac:dyDescent="0.35">
      <c r="A245" s="28" t="s">
        <v>311</v>
      </c>
      <c r="B245" s="28" t="s">
        <v>32</v>
      </c>
      <c r="C245" s="29">
        <v>45608</v>
      </c>
      <c r="D245" s="28" t="s">
        <v>50</v>
      </c>
      <c r="E245" s="28">
        <v>3338</v>
      </c>
      <c r="F245" s="28">
        <v>277</v>
      </c>
      <c r="G245" s="28">
        <v>118</v>
      </c>
      <c r="H245" s="28">
        <v>60084</v>
      </c>
      <c r="I245" s="28">
        <v>59842</v>
      </c>
      <c r="J245" s="28">
        <v>252</v>
      </c>
      <c r="K245" s="28" t="s">
        <v>157</v>
      </c>
      <c r="L245" s="28" t="s">
        <v>56</v>
      </c>
      <c r="M245" s="31">
        <v>6.2129685107516146E-2</v>
      </c>
    </row>
    <row r="246" spans="1:13" x14ac:dyDescent="0.35">
      <c r="A246" s="26" t="s">
        <v>312</v>
      </c>
      <c r="B246" s="26" t="s">
        <v>31</v>
      </c>
      <c r="C246" s="27">
        <v>45790</v>
      </c>
      <c r="D246" s="26" t="s">
        <v>50</v>
      </c>
      <c r="E246" s="26">
        <v>602</v>
      </c>
      <c r="F246" s="26">
        <v>594</v>
      </c>
      <c r="G246" s="26">
        <v>156</v>
      </c>
      <c r="H246" s="26">
        <v>4214</v>
      </c>
      <c r="I246" s="26">
        <v>3363</v>
      </c>
      <c r="J246" s="26">
        <v>164</v>
      </c>
      <c r="K246" s="26" t="s">
        <v>157</v>
      </c>
      <c r="L246" s="26" t="s">
        <v>15</v>
      </c>
      <c r="M246" s="30">
        <v>0.32083531086853345</v>
      </c>
    </row>
    <row r="247" spans="1:13" x14ac:dyDescent="0.35">
      <c r="A247" s="28" t="s">
        <v>120</v>
      </c>
      <c r="B247" s="28" t="s">
        <v>32</v>
      </c>
      <c r="C247" s="29">
        <v>45463</v>
      </c>
      <c r="D247" s="28" t="s">
        <v>52</v>
      </c>
      <c r="E247" s="28">
        <v>4672</v>
      </c>
      <c r="F247" s="28">
        <v>325</v>
      </c>
      <c r="G247" s="28">
        <v>32</v>
      </c>
      <c r="H247" s="28">
        <v>88768</v>
      </c>
      <c r="I247" s="28">
        <v>87833</v>
      </c>
      <c r="J247" s="28">
        <v>118</v>
      </c>
      <c r="K247" s="28" t="s">
        <v>46</v>
      </c>
      <c r="L247" s="28" t="s">
        <v>56</v>
      </c>
      <c r="M247" s="31">
        <v>5.6653298485940883E-2</v>
      </c>
    </row>
    <row r="248" spans="1:13" x14ac:dyDescent="0.35">
      <c r="A248" s="26" t="s">
        <v>313</v>
      </c>
      <c r="B248" s="26" t="s">
        <v>30</v>
      </c>
      <c r="C248" s="27">
        <v>45511</v>
      </c>
      <c r="D248" s="26" t="s">
        <v>52</v>
      </c>
      <c r="E248" s="26">
        <v>1741</v>
      </c>
      <c r="F248" s="26">
        <v>164</v>
      </c>
      <c r="G248" s="26">
        <v>318</v>
      </c>
      <c r="H248" s="26">
        <v>8705</v>
      </c>
      <c r="I248" s="26">
        <v>8272</v>
      </c>
      <c r="J248" s="26">
        <v>121</v>
      </c>
      <c r="K248" s="26" t="s">
        <v>157</v>
      </c>
      <c r="L248" s="26" t="s">
        <v>56</v>
      </c>
      <c r="M248" s="30">
        <v>0.25537047673750718</v>
      </c>
    </row>
    <row r="249" spans="1:13" x14ac:dyDescent="0.35">
      <c r="A249" s="28" t="s">
        <v>314</v>
      </c>
      <c r="B249" s="28" t="s">
        <v>30</v>
      </c>
      <c r="C249" s="29">
        <v>45455</v>
      </c>
      <c r="D249" s="28" t="s">
        <v>54</v>
      </c>
      <c r="E249" s="28">
        <v>246</v>
      </c>
      <c r="F249" s="28">
        <v>149</v>
      </c>
      <c r="G249" s="28">
        <v>130</v>
      </c>
      <c r="H249" s="28">
        <v>4674</v>
      </c>
      <c r="I249" s="28">
        <v>4390</v>
      </c>
      <c r="J249" s="28">
        <v>217</v>
      </c>
      <c r="K249" s="28" t="s">
        <v>154</v>
      </c>
      <c r="L249" s="28" t="s">
        <v>15</v>
      </c>
      <c r="M249" s="31">
        <v>0.11232349165596919</v>
      </c>
    </row>
    <row r="250" spans="1:13" x14ac:dyDescent="0.35">
      <c r="A250" s="26" t="s">
        <v>121</v>
      </c>
      <c r="B250" s="26" t="s">
        <v>30</v>
      </c>
      <c r="C250" s="27">
        <v>45474</v>
      </c>
      <c r="D250" s="26" t="s">
        <v>45</v>
      </c>
      <c r="E250" s="26">
        <v>4808</v>
      </c>
      <c r="F250" s="26">
        <v>772</v>
      </c>
      <c r="G250" s="26">
        <v>320</v>
      </c>
      <c r="H250" s="26">
        <v>72120</v>
      </c>
      <c r="I250" s="26">
        <v>71696</v>
      </c>
      <c r="J250" s="26">
        <v>195</v>
      </c>
      <c r="K250" s="26" t="s">
        <v>46</v>
      </c>
      <c r="L250" s="26" t="s">
        <v>7</v>
      </c>
      <c r="M250" s="30">
        <v>8.1808097615085965E-2</v>
      </c>
    </row>
    <row r="251" spans="1:13" x14ac:dyDescent="0.35">
      <c r="A251" s="28" t="s">
        <v>315</v>
      </c>
      <c r="B251" s="28" t="s">
        <v>30</v>
      </c>
      <c r="C251" s="29">
        <v>45476</v>
      </c>
      <c r="D251" s="28" t="s">
        <v>52</v>
      </c>
      <c r="E251" s="28">
        <v>4799</v>
      </c>
      <c r="F251" s="28">
        <v>694</v>
      </c>
      <c r="G251" s="28">
        <v>289</v>
      </c>
      <c r="H251" s="28">
        <v>43191</v>
      </c>
      <c r="I251" s="28">
        <v>42228</v>
      </c>
      <c r="J251" s="28">
        <v>118</v>
      </c>
      <c r="K251" s="28" t="s">
        <v>157</v>
      </c>
      <c r="L251" s="28" t="s">
        <v>56</v>
      </c>
      <c r="M251" s="31">
        <v>0.13387048227640017</v>
      </c>
    </row>
    <row r="252" spans="1:13" x14ac:dyDescent="0.35">
      <c r="A252" s="26" t="s">
        <v>122</v>
      </c>
      <c r="B252" s="26" t="s">
        <v>31</v>
      </c>
      <c r="C252" s="27">
        <v>45488</v>
      </c>
      <c r="D252" s="26" t="s">
        <v>48</v>
      </c>
      <c r="E252" s="26">
        <v>3663</v>
      </c>
      <c r="F252" s="26">
        <v>17</v>
      </c>
      <c r="G252" s="26">
        <v>295</v>
      </c>
      <c r="H252" s="26">
        <v>51282</v>
      </c>
      <c r="I252" s="26">
        <v>50567</v>
      </c>
      <c r="J252" s="26">
        <v>84</v>
      </c>
      <c r="K252" s="26" t="s">
        <v>46</v>
      </c>
      <c r="L252" s="26" t="s">
        <v>15</v>
      </c>
      <c r="M252" s="30">
        <v>7.7512577512577507E-2</v>
      </c>
    </row>
    <row r="253" spans="1:13" x14ac:dyDescent="0.35">
      <c r="A253" s="28" t="s">
        <v>316</v>
      </c>
      <c r="B253" s="28" t="s">
        <v>30</v>
      </c>
      <c r="C253" s="29">
        <v>45778</v>
      </c>
      <c r="D253" s="28" t="s">
        <v>54</v>
      </c>
      <c r="E253" s="28">
        <v>1430</v>
      </c>
      <c r="F253" s="28">
        <v>376</v>
      </c>
      <c r="G253" s="28">
        <v>33</v>
      </c>
      <c r="H253" s="28">
        <v>21450</v>
      </c>
      <c r="I253" s="28">
        <v>20509</v>
      </c>
      <c r="J253" s="28">
        <v>251</v>
      </c>
      <c r="K253" s="28" t="s">
        <v>154</v>
      </c>
      <c r="L253" s="28" t="s">
        <v>7</v>
      </c>
      <c r="M253" s="31">
        <v>8.5734265734265722E-2</v>
      </c>
    </row>
    <row r="254" spans="1:13" x14ac:dyDescent="0.35">
      <c r="A254" s="26" t="s">
        <v>123</v>
      </c>
      <c r="B254" s="26" t="s">
        <v>32</v>
      </c>
      <c r="C254" s="27">
        <v>45776</v>
      </c>
      <c r="D254" s="26" t="s">
        <v>45</v>
      </c>
      <c r="E254" s="26">
        <v>249</v>
      </c>
      <c r="F254" s="26">
        <v>592</v>
      </c>
      <c r="G254" s="26">
        <v>230</v>
      </c>
      <c r="H254" s="26">
        <v>1494</v>
      </c>
      <c r="I254" s="26">
        <v>1044</v>
      </c>
      <c r="J254" s="26">
        <v>201</v>
      </c>
      <c r="K254" s="26" t="s">
        <v>46</v>
      </c>
      <c r="L254" s="26" t="s">
        <v>19</v>
      </c>
      <c r="M254" s="30">
        <v>0.7168674698795181</v>
      </c>
    </row>
    <row r="255" spans="1:13" x14ac:dyDescent="0.35">
      <c r="A255" s="28" t="s">
        <v>317</v>
      </c>
      <c r="B255" s="28" t="s">
        <v>31</v>
      </c>
      <c r="C255" s="29">
        <v>45724</v>
      </c>
      <c r="D255" s="28" t="s">
        <v>50</v>
      </c>
      <c r="E255" s="28">
        <v>2382</v>
      </c>
      <c r="F255" s="28">
        <v>265</v>
      </c>
      <c r="G255" s="28">
        <v>134</v>
      </c>
      <c r="H255" s="28">
        <v>38112</v>
      </c>
      <c r="I255" s="28">
        <v>37437</v>
      </c>
      <c r="J255" s="28">
        <v>249</v>
      </c>
      <c r="K255" s="28" t="s">
        <v>154</v>
      </c>
      <c r="L255" s="28" t="s">
        <v>19</v>
      </c>
      <c r="M255" s="31">
        <v>7.2969143576826198E-2</v>
      </c>
    </row>
    <row r="256" spans="1:13" x14ac:dyDescent="0.35">
      <c r="A256" s="26" t="s">
        <v>318</v>
      </c>
      <c r="B256" s="26" t="s">
        <v>31</v>
      </c>
      <c r="C256" s="27">
        <v>45444</v>
      </c>
      <c r="D256" s="26" t="s">
        <v>54</v>
      </c>
      <c r="E256" s="26">
        <v>1272</v>
      </c>
      <c r="F256" s="26">
        <v>465</v>
      </c>
      <c r="G256" s="26">
        <v>99</v>
      </c>
      <c r="H256" s="26">
        <v>24168</v>
      </c>
      <c r="I256" s="26">
        <v>23719</v>
      </c>
      <c r="J256" s="26">
        <v>42</v>
      </c>
      <c r="K256" s="26" t="s">
        <v>157</v>
      </c>
      <c r="L256" s="26" t="s">
        <v>56</v>
      </c>
      <c r="M256" s="30">
        <v>7.5968222442899719E-2</v>
      </c>
    </row>
    <row r="257" spans="1:13" x14ac:dyDescent="0.35">
      <c r="A257" s="28" t="s">
        <v>319</v>
      </c>
      <c r="B257" s="28" t="s">
        <v>31</v>
      </c>
      <c r="C257" s="29">
        <v>45648</v>
      </c>
      <c r="D257" s="28" t="s">
        <v>50</v>
      </c>
      <c r="E257" s="28">
        <v>3196</v>
      </c>
      <c r="F257" s="28">
        <v>941</v>
      </c>
      <c r="G257" s="28">
        <v>376</v>
      </c>
      <c r="H257" s="28">
        <v>35156</v>
      </c>
      <c r="I257" s="28">
        <v>34444</v>
      </c>
      <c r="J257" s="28">
        <v>241</v>
      </c>
      <c r="K257" s="28" t="s">
        <v>157</v>
      </c>
      <c r="L257" s="28" t="s">
        <v>15</v>
      </c>
      <c r="M257" s="31">
        <v>0.1283706906360223</v>
      </c>
    </row>
    <row r="258" spans="1:13" x14ac:dyDescent="0.35">
      <c r="A258" s="26" t="s">
        <v>124</v>
      </c>
      <c r="B258" s="26" t="s">
        <v>31</v>
      </c>
      <c r="C258" s="27">
        <v>45523</v>
      </c>
      <c r="D258" s="26" t="s">
        <v>54</v>
      </c>
      <c r="E258" s="26">
        <v>1257</v>
      </c>
      <c r="F258" s="26">
        <v>19</v>
      </c>
      <c r="G258" s="26">
        <v>351</v>
      </c>
      <c r="H258" s="26">
        <v>12570</v>
      </c>
      <c r="I258" s="26">
        <v>11660</v>
      </c>
      <c r="J258" s="26">
        <v>194</v>
      </c>
      <c r="K258" s="26" t="s">
        <v>154</v>
      </c>
      <c r="L258" s="26" t="s">
        <v>11</v>
      </c>
      <c r="M258" s="30">
        <v>0.12943516308671441</v>
      </c>
    </row>
    <row r="259" spans="1:13" x14ac:dyDescent="0.35">
      <c r="A259" s="28" t="s">
        <v>124</v>
      </c>
      <c r="B259" s="28" t="s">
        <v>31</v>
      </c>
      <c r="C259" s="29">
        <v>45523</v>
      </c>
      <c r="D259" s="28" t="s">
        <v>54</v>
      </c>
      <c r="E259" s="28">
        <v>1257</v>
      </c>
      <c r="F259" s="28">
        <v>19</v>
      </c>
      <c r="G259" s="28">
        <v>351</v>
      </c>
      <c r="H259" s="28">
        <v>12570</v>
      </c>
      <c r="I259" s="28">
        <v>11660</v>
      </c>
      <c r="J259" s="28">
        <v>194</v>
      </c>
      <c r="K259" s="28" t="s">
        <v>155</v>
      </c>
      <c r="L259" s="28" t="s">
        <v>11</v>
      </c>
      <c r="M259" s="31">
        <v>0.12943516308671441</v>
      </c>
    </row>
    <row r="260" spans="1:13" x14ac:dyDescent="0.35">
      <c r="A260" s="26" t="s">
        <v>124</v>
      </c>
      <c r="B260" s="26" t="s">
        <v>31</v>
      </c>
      <c r="C260" s="27">
        <v>45523</v>
      </c>
      <c r="D260" s="26" t="s">
        <v>54</v>
      </c>
      <c r="E260" s="26">
        <v>1257</v>
      </c>
      <c r="F260" s="26">
        <v>19</v>
      </c>
      <c r="G260" s="26">
        <v>351</v>
      </c>
      <c r="H260" s="26">
        <v>12570</v>
      </c>
      <c r="I260" s="26">
        <v>11660</v>
      </c>
      <c r="J260" s="26">
        <v>194</v>
      </c>
      <c r="K260" s="26" t="s">
        <v>46</v>
      </c>
      <c r="L260" s="26" t="s">
        <v>11</v>
      </c>
      <c r="M260" s="30">
        <v>0.12943516308671441</v>
      </c>
    </row>
    <row r="261" spans="1:13" x14ac:dyDescent="0.35">
      <c r="A261" s="28" t="s">
        <v>320</v>
      </c>
      <c r="B261" s="28" t="s">
        <v>30</v>
      </c>
      <c r="C261" s="29">
        <v>45587</v>
      </c>
      <c r="D261" s="28" t="s">
        <v>45</v>
      </c>
      <c r="E261" s="28">
        <v>3770</v>
      </c>
      <c r="F261" s="28">
        <v>917</v>
      </c>
      <c r="G261" s="28">
        <v>129</v>
      </c>
      <c r="H261" s="28">
        <v>71630</v>
      </c>
      <c r="I261" s="28">
        <v>71322</v>
      </c>
      <c r="J261" s="28">
        <v>76</v>
      </c>
      <c r="K261" s="28" t="s">
        <v>154</v>
      </c>
      <c r="L261" s="28" t="s">
        <v>7</v>
      </c>
      <c r="M261" s="31">
        <v>6.7234398994834563E-2</v>
      </c>
    </row>
    <row r="262" spans="1:13" x14ac:dyDescent="0.35">
      <c r="A262" s="26" t="s">
        <v>321</v>
      </c>
      <c r="B262" s="26" t="s">
        <v>32</v>
      </c>
      <c r="C262" s="27">
        <v>45489</v>
      </c>
      <c r="D262" s="26" t="s">
        <v>54</v>
      </c>
      <c r="E262" s="26">
        <v>4725</v>
      </c>
      <c r="F262" s="26">
        <v>400</v>
      </c>
      <c r="G262" s="26">
        <v>362</v>
      </c>
      <c r="H262" s="26">
        <v>75600</v>
      </c>
      <c r="I262" s="26">
        <v>74927</v>
      </c>
      <c r="J262" s="26">
        <v>43</v>
      </c>
      <c r="K262" s="26" t="s">
        <v>154</v>
      </c>
      <c r="L262" s="26" t="s">
        <v>19</v>
      </c>
      <c r="M262" s="30">
        <v>7.2579365079365077E-2</v>
      </c>
    </row>
    <row r="263" spans="1:13" x14ac:dyDescent="0.35">
      <c r="A263" s="28" t="s">
        <v>322</v>
      </c>
      <c r="B263" s="28" t="s">
        <v>33</v>
      </c>
      <c r="C263" s="29">
        <v>45712</v>
      </c>
      <c r="D263" s="28" t="s">
        <v>54</v>
      </c>
      <c r="E263" s="28">
        <v>4188</v>
      </c>
      <c r="F263" s="28">
        <v>942</v>
      </c>
      <c r="G263" s="28">
        <v>118</v>
      </c>
      <c r="H263" s="28">
        <v>20940</v>
      </c>
      <c r="I263" s="28">
        <v>20471</v>
      </c>
      <c r="J263" s="28">
        <v>102</v>
      </c>
      <c r="K263" s="28" t="s">
        <v>154</v>
      </c>
      <c r="L263" s="28" t="s">
        <v>56</v>
      </c>
      <c r="M263" s="31">
        <v>0.25062082139446035</v>
      </c>
    </row>
    <row r="264" spans="1:13" x14ac:dyDescent="0.35">
      <c r="A264" s="26" t="s">
        <v>125</v>
      </c>
      <c r="B264" s="26" t="s">
        <v>32</v>
      </c>
      <c r="C264" s="27">
        <v>45530</v>
      </c>
      <c r="D264" s="26" t="s">
        <v>52</v>
      </c>
      <c r="E264" s="26">
        <v>929</v>
      </c>
      <c r="F264" s="26">
        <v>192</v>
      </c>
      <c r="G264" s="26">
        <v>322</v>
      </c>
      <c r="H264" s="26">
        <v>16722</v>
      </c>
      <c r="I264" s="26">
        <v>15996</v>
      </c>
      <c r="J264" s="26">
        <v>145</v>
      </c>
      <c r="K264" s="26" t="s">
        <v>46</v>
      </c>
      <c r="L264" s="26" t="s">
        <v>15</v>
      </c>
      <c r="M264" s="30">
        <v>8.6293505561535699E-2</v>
      </c>
    </row>
    <row r="265" spans="1:13" x14ac:dyDescent="0.35">
      <c r="A265" s="28" t="s">
        <v>125</v>
      </c>
      <c r="B265" s="28" t="s">
        <v>32</v>
      </c>
      <c r="C265" s="29">
        <v>45530</v>
      </c>
      <c r="D265" s="28" t="s">
        <v>52</v>
      </c>
      <c r="E265" s="28">
        <v>929</v>
      </c>
      <c r="F265" s="28">
        <v>192</v>
      </c>
      <c r="G265" s="28">
        <v>322</v>
      </c>
      <c r="H265" s="28">
        <v>16722</v>
      </c>
      <c r="I265" s="28">
        <v>15996</v>
      </c>
      <c r="J265" s="28">
        <v>145</v>
      </c>
      <c r="K265" s="28" t="s">
        <v>157</v>
      </c>
      <c r="L265" s="28" t="s">
        <v>15</v>
      </c>
      <c r="M265" s="31">
        <v>8.6293505561535699E-2</v>
      </c>
    </row>
    <row r="266" spans="1:13" x14ac:dyDescent="0.35">
      <c r="A266" s="26" t="s">
        <v>125</v>
      </c>
      <c r="B266" s="26" t="s">
        <v>32</v>
      </c>
      <c r="C266" s="27">
        <v>45530</v>
      </c>
      <c r="D266" s="26" t="s">
        <v>52</v>
      </c>
      <c r="E266" s="26">
        <v>929</v>
      </c>
      <c r="F266" s="26">
        <v>192</v>
      </c>
      <c r="G266" s="26">
        <v>322</v>
      </c>
      <c r="H266" s="26">
        <v>16722</v>
      </c>
      <c r="I266" s="26">
        <v>15996</v>
      </c>
      <c r="J266" s="26">
        <v>145</v>
      </c>
      <c r="K266" s="26" t="s">
        <v>155</v>
      </c>
      <c r="L266" s="26" t="s">
        <v>15</v>
      </c>
      <c r="M266" s="30">
        <v>8.6293505561535699E-2</v>
      </c>
    </row>
    <row r="267" spans="1:13" x14ac:dyDescent="0.35">
      <c r="A267" s="28" t="s">
        <v>323</v>
      </c>
      <c r="B267" s="28" t="s">
        <v>31</v>
      </c>
      <c r="C267" s="29">
        <v>45675</v>
      </c>
      <c r="D267" s="28" t="s">
        <v>45</v>
      </c>
      <c r="E267" s="28">
        <v>4321</v>
      </c>
      <c r="F267" s="28">
        <v>874</v>
      </c>
      <c r="G267" s="28">
        <v>172</v>
      </c>
      <c r="H267" s="28">
        <v>30247</v>
      </c>
      <c r="I267" s="28">
        <v>29254</v>
      </c>
      <c r="J267" s="28">
        <v>122</v>
      </c>
      <c r="K267" s="28" t="s">
        <v>157</v>
      </c>
      <c r="L267" s="28" t="s">
        <v>19</v>
      </c>
      <c r="M267" s="31">
        <v>0.17743908486792079</v>
      </c>
    </row>
    <row r="268" spans="1:13" x14ac:dyDescent="0.35">
      <c r="A268" s="26" t="s">
        <v>126</v>
      </c>
      <c r="B268" s="26" t="s">
        <v>31</v>
      </c>
      <c r="C268" s="27">
        <v>45480</v>
      </c>
      <c r="D268" s="26" t="s">
        <v>48</v>
      </c>
      <c r="E268" s="26">
        <v>4767</v>
      </c>
      <c r="F268" s="26">
        <v>190</v>
      </c>
      <c r="G268" s="26">
        <v>340</v>
      </c>
      <c r="H268" s="26">
        <v>28602</v>
      </c>
      <c r="I268" s="26">
        <v>28044</v>
      </c>
      <c r="J268" s="26">
        <v>210</v>
      </c>
      <c r="K268" s="26" t="s">
        <v>46</v>
      </c>
      <c r="L268" s="26" t="s">
        <v>15</v>
      </c>
      <c r="M268" s="30">
        <v>0.18519683938186141</v>
      </c>
    </row>
    <row r="269" spans="1:13" x14ac:dyDescent="0.35">
      <c r="A269" s="28" t="s">
        <v>324</v>
      </c>
      <c r="B269" s="28" t="s">
        <v>32</v>
      </c>
      <c r="C269" s="29">
        <v>45722</v>
      </c>
      <c r="D269" s="28" t="s">
        <v>50</v>
      </c>
      <c r="E269" s="28">
        <v>3592</v>
      </c>
      <c r="F269" s="28">
        <v>911</v>
      </c>
      <c r="G269" s="28">
        <v>375</v>
      </c>
      <c r="H269" s="28">
        <v>50288</v>
      </c>
      <c r="I269" s="28">
        <v>49490</v>
      </c>
      <c r="J269" s="28">
        <v>32</v>
      </c>
      <c r="K269" s="28" t="s">
        <v>154</v>
      </c>
      <c r="L269" s="28" t="s">
        <v>19</v>
      </c>
      <c r="M269" s="31">
        <v>9.7001272669424113E-2</v>
      </c>
    </row>
    <row r="270" spans="1:13" x14ac:dyDescent="0.35">
      <c r="A270" s="26" t="s">
        <v>325</v>
      </c>
      <c r="B270" s="26" t="s">
        <v>33</v>
      </c>
      <c r="C270" s="27">
        <v>45590</v>
      </c>
      <c r="D270" s="26" t="s">
        <v>58</v>
      </c>
      <c r="E270" s="26">
        <v>4661</v>
      </c>
      <c r="F270" s="26">
        <v>935</v>
      </c>
      <c r="G270" s="26">
        <v>433</v>
      </c>
      <c r="H270" s="26">
        <v>23305</v>
      </c>
      <c r="I270" s="26">
        <v>22583</v>
      </c>
      <c r="J270" s="26">
        <v>63</v>
      </c>
      <c r="K270" s="26" t="s">
        <v>154</v>
      </c>
      <c r="L270" s="26" t="s">
        <v>15</v>
      </c>
      <c r="M270" s="30">
        <v>0.25869984981763572</v>
      </c>
    </row>
    <row r="271" spans="1:13" x14ac:dyDescent="0.35">
      <c r="A271" s="28" t="s">
        <v>127</v>
      </c>
      <c r="B271" s="28" t="s">
        <v>31</v>
      </c>
      <c r="C271" s="29">
        <v>45669</v>
      </c>
      <c r="D271" s="28" t="s">
        <v>48</v>
      </c>
      <c r="E271" s="28">
        <v>4134</v>
      </c>
      <c r="F271" s="28">
        <v>824</v>
      </c>
      <c r="G271" s="28">
        <v>99</v>
      </c>
      <c r="H271" s="28">
        <v>41340</v>
      </c>
      <c r="I271" s="28">
        <v>41050</v>
      </c>
      <c r="J271" s="28">
        <v>177</v>
      </c>
      <c r="K271" s="28" t="s">
        <v>46</v>
      </c>
      <c r="L271" s="28" t="s">
        <v>7</v>
      </c>
      <c r="M271" s="31">
        <v>0.12232704402515723</v>
      </c>
    </row>
    <row r="272" spans="1:13" x14ac:dyDescent="0.35">
      <c r="A272" s="26" t="s">
        <v>326</v>
      </c>
      <c r="B272" s="26" t="s">
        <v>31</v>
      </c>
      <c r="C272" s="27">
        <v>45576</v>
      </c>
      <c r="D272" s="26" t="s">
        <v>50</v>
      </c>
      <c r="E272" s="26">
        <v>400</v>
      </c>
      <c r="F272" s="26">
        <v>680</v>
      </c>
      <c r="G272" s="26">
        <v>434</v>
      </c>
      <c r="H272" s="26">
        <v>6400</v>
      </c>
      <c r="I272" s="26">
        <v>5472</v>
      </c>
      <c r="J272" s="26">
        <v>160</v>
      </c>
      <c r="K272" s="26" t="s">
        <v>154</v>
      </c>
      <c r="L272" s="26" t="s">
        <v>11</v>
      </c>
      <c r="M272" s="30">
        <v>0.23656250000000001</v>
      </c>
    </row>
    <row r="273" spans="1:13" x14ac:dyDescent="0.35">
      <c r="A273" s="28" t="s">
        <v>128</v>
      </c>
      <c r="B273" s="28" t="s">
        <v>31</v>
      </c>
      <c r="C273" s="29">
        <v>45531</v>
      </c>
      <c r="D273" s="28" t="s">
        <v>48</v>
      </c>
      <c r="E273" s="28">
        <v>3960</v>
      </c>
      <c r="F273" s="28">
        <v>266</v>
      </c>
      <c r="G273" s="28">
        <v>8</v>
      </c>
      <c r="H273" s="28">
        <v>35640</v>
      </c>
      <c r="I273" s="28">
        <v>34850</v>
      </c>
      <c r="J273" s="28">
        <v>208</v>
      </c>
      <c r="K273" s="28" t="s">
        <v>154</v>
      </c>
      <c r="L273" s="28" t="s">
        <v>56</v>
      </c>
      <c r="M273" s="31">
        <v>0.11879910213243548</v>
      </c>
    </row>
    <row r="274" spans="1:13" x14ac:dyDescent="0.35">
      <c r="A274" s="26" t="s">
        <v>128</v>
      </c>
      <c r="B274" s="26" t="s">
        <v>31</v>
      </c>
      <c r="C274" s="27">
        <v>45531</v>
      </c>
      <c r="D274" s="26" t="s">
        <v>48</v>
      </c>
      <c r="E274" s="26">
        <v>3960</v>
      </c>
      <c r="F274" s="26">
        <v>266</v>
      </c>
      <c r="G274" s="26">
        <v>8</v>
      </c>
      <c r="H274" s="26">
        <v>35640</v>
      </c>
      <c r="I274" s="26">
        <v>34850</v>
      </c>
      <c r="J274" s="26">
        <v>208</v>
      </c>
      <c r="K274" s="26" t="s">
        <v>46</v>
      </c>
      <c r="L274" s="26" t="s">
        <v>56</v>
      </c>
      <c r="M274" s="30">
        <v>0.11879910213243548</v>
      </c>
    </row>
    <row r="275" spans="1:13" x14ac:dyDescent="0.35">
      <c r="A275" s="28" t="s">
        <v>128</v>
      </c>
      <c r="B275" s="28" t="s">
        <v>31</v>
      </c>
      <c r="C275" s="29">
        <v>45531</v>
      </c>
      <c r="D275" s="28" t="s">
        <v>48</v>
      </c>
      <c r="E275" s="28">
        <v>3960</v>
      </c>
      <c r="F275" s="28">
        <v>266</v>
      </c>
      <c r="G275" s="28">
        <v>8</v>
      </c>
      <c r="H275" s="28">
        <v>35640</v>
      </c>
      <c r="I275" s="28">
        <v>34850</v>
      </c>
      <c r="J275" s="28">
        <v>208</v>
      </c>
      <c r="K275" s="28" t="s">
        <v>158</v>
      </c>
      <c r="L275" s="28" t="s">
        <v>56</v>
      </c>
      <c r="M275" s="31">
        <v>0.11879910213243548</v>
      </c>
    </row>
    <row r="276" spans="1:13" x14ac:dyDescent="0.35">
      <c r="A276" s="26" t="s">
        <v>129</v>
      </c>
      <c r="B276" s="26" t="s">
        <v>31</v>
      </c>
      <c r="C276" s="27">
        <v>45690</v>
      </c>
      <c r="D276" s="26" t="s">
        <v>45</v>
      </c>
      <c r="E276" s="26">
        <v>886</v>
      </c>
      <c r="F276" s="26">
        <v>126</v>
      </c>
      <c r="G276" s="26">
        <v>153</v>
      </c>
      <c r="H276" s="26">
        <v>4430</v>
      </c>
      <c r="I276" s="26">
        <v>4037</v>
      </c>
      <c r="J276" s="26">
        <v>212</v>
      </c>
      <c r="K276" s="26" t="s">
        <v>46</v>
      </c>
      <c r="L276" s="26" t="s">
        <v>56</v>
      </c>
      <c r="M276" s="30">
        <v>0.26297968397291194</v>
      </c>
    </row>
    <row r="277" spans="1:13" x14ac:dyDescent="0.35">
      <c r="A277" s="28" t="s">
        <v>130</v>
      </c>
      <c r="B277" s="28" t="s">
        <v>32</v>
      </c>
      <c r="C277" s="29">
        <v>45491</v>
      </c>
      <c r="D277" s="28" t="s">
        <v>50</v>
      </c>
      <c r="E277" s="28">
        <v>827</v>
      </c>
      <c r="F277" s="28">
        <v>77</v>
      </c>
      <c r="G277" s="28">
        <v>402</v>
      </c>
      <c r="H277" s="28">
        <v>14886</v>
      </c>
      <c r="I277" s="28">
        <v>14129</v>
      </c>
      <c r="J277" s="28">
        <v>254</v>
      </c>
      <c r="K277" s="28" t="s">
        <v>46</v>
      </c>
      <c r="L277" s="28" t="s">
        <v>11</v>
      </c>
      <c r="M277" s="31">
        <v>8.7733440816874911E-2</v>
      </c>
    </row>
    <row r="278" spans="1:13" x14ac:dyDescent="0.35">
      <c r="A278" s="26" t="s">
        <v>327</v>
      </c>
      <c r="B278" s="26" t="s">
        <v>31</v>
      </c>
      <c r="C278" s="27">
        <v>45465</v>
      </c>
      <c r="D278" s="26" t="s">
        <v>48</v>
      </c>
      <c r="E278" s="26">
        <v>3813</v>
      </c>
      <c r="F278" s="26">
        <v>935</v>
      </c>
      <c r="G278" s="26">
        <v>274</v>
      </c>
      <c r="H278" s="26">
        <v>68634</v>
      </c>
      <c r="I278" s="26">
        <v>68488</v>
      </c>
      <c r="J278" s="26">
        <v>251</v>
      </c>
      <c r="K278" s="26" t="s">
        <v>154</v>
      </c>
      <c r="L278" s="26" t="s">
        <v>56</v>
      </c>
      <c r="M278" s="30">
        <v>7.3170731707317069E-2</v>
      </c>
    </row>
    <row r="279" spans="1:13" x14ac:dyDescent="0.35">
      <c r="A279" s="28" t="s">
        <v>328</v>
      </c>
      <c r="B279" s="28" t="s">
        <v>30</v>
      </c>
      <c r="C279" s="29">
        <v>45743</v>
      </c>
      <c r="D279" s="28" t="s">
        <v>52</v>
      </c>
      <c r="E279" s="28">
        <v>1377</v>
      </c>
      <c r="F279" s="28">
        <v>796</v>
      </c>
      <c r="G279" s="28">
        <v>387</v>
      </c>
      <c r="H279" s="28">
        <v>22032</v>
      </c>
      <c r="I279" s="28">
        <v>21869</v>
      </c>
      <c r="J279" s="28">
        <v>189</v>
      </c>
      <c r="K279" s="28" t="s">
        <v>154</v>
      </c>
      <c r="L279" s="28" t="s">
        <v>56</v>
      </c>
      <c r="M279" s="31">
        <v>0.11619462599854756</v>
      </c>
    </row>
    <row r="280" spans="1:13" x14ac:dyDescent="0.35">
      <c r="A280" s="26" t="s">
        <v>329</v>
      </c>
      <c r="B280" s="26" t="s">
        <v>31</v>
      </c>
      <c r="C280" s="27">
        <v>45775</v>
      </c>
      <c r="D280" s="26" t="s">
        <v>52</v>
      </c>
      <c r="E280" s="26">
        <v>2089</v>
      </c>
      <c r="F280" s="26">
        <v>476</v>
      </c>
      <c r="G280" s="26">
        <v>69</v>
      </c>
      <c r="H280" s="26">
        <v>16712</v>
      </c>
      <c r="I280" s="26">
        <v>16309</v>
      </c>
      <c r="J280" s="26">
        <v>64</v>
      </c>
      <c r="K280" s="26" t="s">
        <v>154</v>
      </c>
      <c r="L280" s="26" t="s">
        <v>15</v>
      </c>
      <c r="M280" s="30">
        <v>0.15761129727142173</v>
      </c>
    </row>
    <row r="281" spans="1:13" x14ac:dyDescent="0.35">
      <c r="A281" s="28" t="s">
        <v>131</v>
      </c>
      <c r="B281" s="28" t="s">
        <v>32</v>
      </c>
      <c r="C281" s="29">
        <v>45507</v>
      </c>
      <c r="D281" s="28" t="s">
        <v>48</v>
      </c>
      <c r="E281" s="28">
        <v>3791</v>
      </c>
      <c r="F281" s="28">
        <v>593</v>
      </c>
      <c r="G281" s="28">
        <v>228</v>
      </c>
      <c r="H281" s="28">
        <v>53074</v>
      </c>
      <c r="I281" s="28">
        <v>52613</v>
      </c>
      <c r="J281" s="28">
        <v>205</v>
      </c>
      <c r="K281" s="28" t="s">
        <v>46</v>
      </c>
      <c r="L281" s="28" t="s">
        <v>56</v>
      </c>
      <c r="M281" s="31">
        <v>8.6897539284772202E-2</v>
      </c>
    </row>
    <row r="282" spans="1:13" x14ac:dyDescent="0.35">
      <c r="A282" s="26" t="s">
        <v>330</v>
      </c>
      <c r="B282" s="26" t="s">
        <v>32</v>
      </c>
      <c r="C282" s="27">
        <v>45671</v>
      </c>
      <c r="D282" s="26" t="s">
        <v>50</v>
      </c>
      <c r="E282" s="26">
        <v>2692</v>
      </c>
      <c r="F282" s="26">
        <v>115</v>
      </c>
      <c r="G282" s="26">
        <v>64</v>
      </c>
      <c r="H282" s="26">
        <v>21536</v>
      </c>
      <c r="I282" s="26">
        <v>21120</v>
      </c>
      <c r="J282" s="26">
        <v>224</v>
      </c>
      <c r="K282" s="26" t="s">
        <v>154</v>
      </c>
      <c r="L282" s="26" t="s">
        <v>11</v>
      </c>
      <c r="M282" s="30">
        <v>0.13331166419019316</v>
      </c>
    </row>
    <row r="283" spans="1:13" x14ac:dyDescent="0.35">
      <c r="A283" s="28" t="s">
        <v>331</v>
      </c>
      <c r="B283" s="28" t="s">
        <v>31</v>
      </c>
      <c r="C283" s="29">
        <v>45750</v>
      </c>
      <c r="D283" s="28" t="s">
        <v>45</v>
      </c>
      <c r="E283" s="28">
        <v>3767</v>
      </c>
      <c r="F283" s="28">
        <v>514</v>
      </c>
      <c r="G283" s="28">
        <v>238</v>
      </c>
      <c r="H283" s="28">
        <v>37670</v>
      </c>
      <c r="I283" s="28">
        <v>36807</v>
      </c>
      <c r="J283" s="28">
        <v>226</v>
      </c>
      <c r="K283" s="28" t="s">
        <v>154</v>
      </c>
      <c r="L283" s="28" t="s">
        <v>19</v>
      </c>
      <c r="M283" s="31">
        <v>0.11996283514733208</v>
      </c>
    </row>
    <row r="284" spans="1:13" x14ac:dyDescent="0.35">
      <c r="A284" s="26" t="s">
        <v>132</v>
      </c>
      <c r="B284" s="26" t="s">
        <v>33</v>
      </c>
      <c r="C284" s="27">
        <v>45553</v>
      </c>
      <c r="D284" s="26" t="s">
        <v>52</v>
      </c>
      <c r="E284" s="26">
        <v>2143</v>
      </c>
      <c r="F284" s="26">
        <v>12</v>
      </c>
      <c r="G284" s="26">
        <v>204</v>
      </c>
      <c r="H284" s="26">
        <v>40717</v>
      </c>
      <c r="I284" s="26">
        <v>40125</v>
      </c>
      <c r="J284" s="26">
        <v>248</v>
      </c>
      <c r="K284" s="26" t="s">
        <v>46</v>
      </c>
      <c r="L284" s="26" t="s">
        <v>11</v>
      </c>
      <c r="M284" s="30">
        <v>5.7936488444630008E-2</v>
      </c>
    </row>
    <row r="285" spans="1:13" x14ac:dyDescent="0.35">
      <c r="A285" s="28" t="s">
        <v>133</v>
      </c>
      <c r="B285" s="28" t="s">
        <v>31</v>
      </c>
      <c r="C285" s="29">
        <v>45753</v>
      </c>
      <c r="D285" s="28" t="s">
        <v>50</v>
      </c>
      <c r="E285" s="28">
        <v>3090</v>
      </c>
      <c r="F285" s="28">
        <v>697</v>
      </c>
      <c r="G285" s="28">
        <v>164</v>
      </c>
      <c r="H285" s="28">
        <v>49440</v>
      </c>
      <c r="I285" s="28">
        <v>48524</v>
      </c>
      <c r="J285" s="28">
        <v>25</v>
      </c>
      <c r="K285" s="28" t="s">
        <v>46</v>
      </c>
      <c r="L285" s="28" t="s">
        <v>11</v>
      </c>
      <c r="M285" s="31">
        <v>7.9915048543689318E-2</v>
      </c>
    </row>
    <row r="286" spans="1:13" x14ac:dyDescent="0.35">
      <c r="A286" s="26" t="s">
        <v>133</v>
      </c>
      <c r="B286" s="26" t="s">
        <v>31</v>
      </c>
      <c r="C286" s="27">
        <v>45753</v>
      </c>
      <c r="D286" s="26" t="s">
        <v>50</v>
      </c>
      <c r="E286" s="26">
        <v>3090</v>
      </c>
      <c r="F286" s="26">
        <v>697</v>
      </c>
      <c r="G286" s="26">
        <v>164</v>
      </c>
      <c r="H286" s="26">
        <v>49440</v>
      </c>
      <c r="I286" s="26">
        <v>48524</v>
      </c>
      <c r="J286" s="26">
        <v>25</v>
      </c>
      <c r="K286" s="26" t="s">
        <v>46</v>
      </c>
      <c r="L286" s="26" t="s">
        <v>11</v>
      </c>
      <c r="M286" s="30">
        <v>7.9915048543689318E-2</v>
      </c>
    </row>
    <row r="287" spans="1:13" x14ac:dyDescent="0.35">
      <c r="A287" s="28" t="s">
        <v>133</v>
      </c>
      <c r="B287" s="28" t="s">
        <v>31</v>
      </c>
      <c r="C287" s="29">
        <v>45753</v>
      </c>
      <c r="D287" s="28" t="s">
        <v>50</v>
      </c>
      <c r="E287" s="28">
        <v>3090</v>
      </c>
      <c r="F287" s="28">
        <v>697</v>
      </c>
      <c r="G287" s="28">
        <v>164</v>
      </c>
      <c r="H287" s="28">
        <v>49440</v>
      </c>
      <c r="I287" s="28">
        <v>48524</v>
      </c>
      <c r="J287" s="28">
        <v>25</v>
      </c>
      <c r="K287" s="28" t="s">
        <v>158</v>
      </c>
      <c r="L287" s="28" t="s">
        <v>11</v>
      </c>
      <c r="M287" s="31">
        <v>7.9915048543689318E-2</v>
      </c>
    </row>
    <row r="288" spans="1:13" x14ac:dyDescent="0.35">
      <c r="A288" s="26" t="s">
        <v>134</v>
      </c>
      <c r="B288" s="26" t="s">
        <v>30</v>
      </c>
      <c r="C288" s="27">
        <v>45509</v>
      </c>
      <c r="D288" s="26" t="s">
        <v>45</v>
      </c>
      <c r="E288" s="26">
        <v>3601</v>
      </c>
      <c r="F288" s="26">
        <v>695</v>
      </c>
      <c r="G288" s="26">
        <v>75</v>
      </c>
      <c r="H288" s="26">
        <v>21606</v>
      </c>
      <c r="I288" s="26">
        <v>21454</v>
      </c>
      <c r="J288" s="26">
        <v>172</v>
      </c>
      <c r="K288" s="26" t="s">
        <v>46</v>
      </c>
      <c r="L288" s="26" t="s">
        <v>11</v>
      </c>
      <c r="M288" s="30">
        <v>0.2023049153013052</v>
      </c>
    </row>
    <row r="289" spans="1:13" x14ac:dyDescent="0.35">
      <c r="A289" s="28" t="s">
        <v>332</v>
      </c>
      <c r="B289" s="28" t="s">
        <v>31</v>
      </c>
      <c r="C289" s="29">
        <v>45698</v>
      </c>
      <c r="D289" s="28" t="s">
        <v>54</v>
      </c>
      <c r="E289" s="28">
        <v>562</v>
      </c>
      <c r="F289" s="28">
        <v>158</v>
      </c>
      <c r="G289" s="28">
        <v>149</v>
      </c>
      <c r="H289" s="28">
        <v>3372</v>
      </c>
      <c r="I289" s="28">
        <v>2940</v>
      </c>
      <c r="J289" s="28">
        <v>93</v>
      </c>
      <c r="K289" s="28" t="s">
        <v>157</v>
      </c>
      <c r="L289" s="28" t="s">
        <v>7</v>
      </c>
      <c r="M289" s="31">
        <v>0.25771055753262156</v>
      </c>
    </row>
    <row r="290" spans="1:13" x14ac:dyDescent="0.35">
      <c r="A290" s="26" t="s">
        <v>135</v>
      </c>
      <c r="B290" s="26" t="s">
        <v>30</v>
      </c>
      <c r="C290" s="27">
        <v>45700</v>
      </c>
      <c r="D290" s="26" t="s">
        <v>45</v>
      </c>
      <c r="E290" s="26">
        <v>4332</v>
      </c>
      <c r="F290" s="26">
        <v>771</v>
      </c>
      <c r="G290" s="26">
        <v>219</v>
      </c>
      <c r="H290" s="26">
        <v>60648</v>
      </c>
      <c r="I290" s="26">
        <v>60397</v>
      </c>
      <c r="J290" s="26">
        <v>10</v>
      </c>
      <c r="K290" s="26" t="s">
        <v>157</v>
      </c>
      <c r="L290" s="26" t="s">
        <v>15</v>
      </c>
      <c r="M290" s="30">
        <v>8.7752275425405618E-2</v>
      </c>
    </row>
    <row r="291" spans="1:13" x14ac:dyDescent="0.35">
      <c r="A291" s="28" t="s">
        <v>135</v>
      </c>
      <c r="B291" s="28" t="s">
        <v>30</v>
      </c>
      <c r="C291" s="29">
        <v>45700</v>
      </c>
      <c r="D291" s="28" t="s">
        <v>45</v>
      </c>
      <c r="E291" s="28">
        <v>4332</v>
      </c>
      <c r="F291" s="28">
        <v>771</v>
      </c>
      <c r="G291" s="28">
        <v>219</v>
      </c>
      <c r="H291" s="28">
        <v>60648</v>
      </c>
      <c r="I291" s="28">
        <v>60397</v>
      </c>
      <c r="J291" s="28">
        <v>10</v>
      </c>
      <c r="K291" s="28" t="s">
        <v>46</v>
      </c>
      <c r="L291" s="28" t="s">
        <v>15</v>
      </c>
      <c r="M291" s="31">
        <v>8.7752275425405618E-2</v>
      </c>
    </row>
    <row r="292" spans="1:13" x14ac:dyDescent="0.35">
      <c r="A292" s="26" t="s">
        <v>135</v>
      </c>
      <c r="B292" s="26" t="s">
        <v>30</v>
      </c>
      <c r="C292" s="27">
        <v>45700</v>
      </c>
      <c r="D292" s="26" t="s">
        <v>45</v>
      </c>
      <c r="E292" s="26">
        <v>4332</v>
      </c>
      <c r="F292" s="26">
        <v>771</v>
      </c>
      <c r="G292" s="26">
        <v>219</v>
      </c>
      <c r="H292" s="26">
        <v>60648</v>
      </c>
      <c r="I292" s="26">
        <v>60397</v>
      </c>
      <c r="J292" s="26">
        <v>10</v>
      </c>
      <c r="K292" s="26" t="s">
        <v>158</v>
      </c>
      <c r="L292" s="26" t="s">
        <v>15</v>
      </c>
      <c r="M292" s="30">
        <v>8.7752275425405618E-2</v>
      </c>
    </row>
    <row r="293" spans="1:13" x14ac:dyDescent="0.35">
      <c r="A293" s="28" t="s">
        <v>136</v>
      </c>
      <c r="B293" s="28" t="s">
        <v>30</v>
      </c>
      <c r="C293" s="29">
        <v>45592</v>
      </c>
      <c r="D293" s="28" t="s">
        <v>50</v>
      </c>
      <c r="E293" s="28">
        <v>4853</v>
      </c>
      <c r="F293" s="28">
        <v>837</v>
      </c>
      <c r="G293" s="28">
        <v>340</v>
      </c>
      <c r="H293" s="28">
        <v>72795</v>
      </c>
      <c r="I293" s="28">
        <v>72237</v>
      </c>
      <c r="J293" s="28">
        <v>170</v>
      </c>
      <c r="K293" s="28" t="s">
        <v>46</v>
      </c>
      <c r="L293" s="28" t="s">
        <v>7</v>
      </c>
      <c r="M293" s="31">
        <v>8.2835359571399134E-2</v>
      </c>
    </row>
    <row r="294" spans="1:13" x14ac:dyDescent="0.35">
      <c r="A294" s="26" t="s">
        <v>333</v>
      </c>
      <c r="B294" s="26" t="s">
        <v>33</v>
      </c>
      <c r="C294" s="27">
        <v>45675</v>
      </c>
      <c r="D294" s="26" t="s">
        <v>50</v>
      </c>
      <c r="E294" s="26">
        <v>1206</v>
      </c>
      <c r="F294" s="26">
        <v>238</v>
      </c>
      <c r="G294" s="26">
        <v>36</v>
      </c>
      <c r="H294" s="26">
        <v>9648</v>
      </c>
      <c r="I294" s="26">
        <v>9417</v>
      </c>
      <c r="J294" s="26">
        <v>237</v>
      </c>
      <c r="K294" s="26" t="s">
        <v>157</v>
      </c>
      <c r="L294" s="26" t="s">
        <v>56</v>
      </c>
      <c r="M294" s="30">
        <v>0.15339966832504143</v>
      </c>
    </row>
    <row r="295" spans="1:13" x14ac:dyDescent="0.35">
      <c r="A295" s="28" t="s">
        <v>334</v>
      </c>
      <c r="B295" s="28" t="s">
        <v>30</v>
      </c>
      <c r="C295" s="29">
        <v>45524</v>
      </c>
      <c r="D295" s="28" t="s">
        <v>48</v>
      </c>
      <c r="E295" s="28">
        <v>2603</v>
      </c>
      <c r="F295" s="28">
        <v>690</v>
      </c>
      <c r="G295" s="28">
        <v>205</v>
      </c>
      <c r="H295" s="28">
        <v>13015</v>
      </c>
      <c r="I295" s="28">
        <v>12130</v>
      </c>
      <c r="J295" s="28">
        <v>20</v>
      </c>
      <c r="K295" s="28" t="s">
        <v>154</v>
      </c>
      <c r="L295" s="28" t="s">
        <v>11</v>
      </c>
      <c r="M295" s="31">
        <v>0.26876680752977333</v>
      </c>
    </row>
    <row r="296" spans="1:13" x14ac:dyDescent="0.35">
      <c r="A296" s="26" t="s">
        <v>335</v>
      </c>
      <c r="B296" s="26" t="s">
        <v>32</v>
      </c>
      <c r="C296" s="27">
        <v>45687</v>
      </c>
      <c r="D296" s="26" t="s">
        <v>50</v>
      </c>
      <c r="E296" s="26">
        <v>59</v>
      </c>
      <c r="F296" s="26">
        <v>163</v>
      </c>
      <c r="G296" s="26">
        <v>93</v>
      </c>
      <c r="H296" s="26">
        <v>590</v>
      </c>
      <c r="I296" s="26">
        <v>475</v>
      </c>
      <c r="J296" s="26">
        <v>293</v>
      </c>
      <c r="K296" s="26" t="s">
        <v>157</v>
      </c>
      <c r="L296" s="26" t="s">
        <v>11</v>
      </c>
      <c r="M296" s="30">
        <v>0.53389830508474578</v>
      </c>
    </row>
    <row r="297" spans="1:13" x14ac:dyDescent="0.35">
      <c r="A297" s="28" t="s">
        <v>137</v>
      </c>
      <c r="B297" s="28" t="s">
        <v>32</v>
      </c>
      <c r="C297" s="29">
        <v>45708</v>
      </c>
      <c r="D297" s="28" t="s">
        <v>52</v>
      </c>
      <c r="E297" s="28">
        <v>1877</v>
      </c>
      <c r="F297" s="28">
        <v>745</v>
      </c>
      <c r="G297" s="28">
        <v>225</v>
      </c>
      <c r="H297" s="28">
        <v>11262</v>
      </c>
      <c r="I297" s="28">
        <v>10967</v>
      </c>
      <c r="J297" s="28">
        <v>41</v>
      </c>
      <c r="K297" s="28" t="s">
        <v>46</v>
      </c>
      <c r="L297" s="28" t="s">
        <v>19</v>
      </c>
      <c r="M297" s="31">
        <v>0.25279701651571657</v>
      </c>
    </row>
    <row r="298" spans="1:13" x14ac:dyDescent="0.35">
      <c r="A298" s="26" t="s">
        <v>336</v>
      </c>
      <c r="B298" s="26" t="s">
        <v>31</v>
      </c>
      <c r="C298" s="27">
        <v>45621</v>
      </c>
      <c r="D298" s="26" t="s">
        <v>45</v>
      </c>
      <c r="E298" s="26">
        <v>4182</v>
      </c>
      <c r="F298" s="26">
        <v>640</v>
      </c>
      <c r="G298" s="26">
        <v>240</v>
      </c>
      <c r="H298" s="26">
        <v>50184</v>
      </c>
      <c r="I298" s="26">
        <v>49351</v>
      </c>
      <c r="J298" s="26">
        <v>10</v>
      </c>
      <c r="K298" s="26" t="s">
        <v>157</v>
      </c>
      <c r="L298" s="26" t="s">
        <v>15</v>
      </c>
      <c r="M298" s="30">
        <v>0.10086880280567512</v>
      </c>
    </row>
    <row r="299" spans="1:13" x14ac:dyDescent="0.35">
      <c r="A299" s="28" t="s">
        <v>337</v>
      </c>
      <c r="B299" s="28" t="s">
        <v>32</v>
      </c>
      <c r="C299" s="29">
        <v>45569</v>
      </c>
      <c r="D299" s="28" t="s">
        <v>48</v>
      </c>
      <c r="E299" s="28">
        <v>4187</v>
      </c>
      <c r="F299" s="28">
        <v>66</v>
      </c>
      <c r="G299" s="28">
        <v>31</v>
      </c>
      <c r="H299" s="28">
        <v>66992</v>
      </c>
      <c r="I299" s="28">
        <v>66614</v>
      </c>
      <c r="J299" s="28">
        <v>62</v>
      </c>
      <c r="K299" s="28" t="s">
        <v>154</v>
      </c>
      <c r="L299" s="28" t="s">
        <v>56</v>
      </c>
      <c r="M299" s="31">
        <v>6.3947934081681396E-2</v>
      </c>
    </row>
    <row r="300" spans="1:13" x14ac:dyDescent="0.35">
      <c r="A300" s="26" t="s">
        <v>138</v>
      </c>
      <c r="B300" s="26" t="s">
        <v>30</v>
      </c>
      <c r="C300" s="27">
        <v>45760</v>
      </c>
      <c r="D300" s="26" t="s">
        <v>48</v>
      </c>
      <c r="E300" s="26">
        <v>4579</v>
      </c>
      <c r="F300" s="26">
        <v>125</v>
      </c>
      <c r="G300" s="26">
        <v>300</v>
      </c>
      <c r="H300" s="26">
        <v>59527</v>
      </c>
      <c r="I300" s="26">
        <v>59400</v>
      </c>
      <c r="J300" s="26">
        <v>269</v>
      </c>
      <c r="K300" s="26" t="s">
        <v>46</v>
      </c>
      <c r="L300" s="26" t="s">
        <v>7</v>
      </c>
      <c r="M300" s="30">
        <v>8.4062694239588759E-2</v>
      </c>
    </row>
    <row r="301" spans="1:13" x14ac:dyDescent="0.35">
      <c r="A301" s="28" t="s">
        <v>338</v>
      </c>
      <c r="B301" s="28" t="s">
        <v>30</v>
      </c>
      <c r="C301" s="29">
        <v>45601</v>
      </c>
      <c r="D301" s="28" t="s">
        <v>58</v>
      </c>
      <c r="E301" s="28">
        <v>4561</v>
      </c>
      <c r="F301" s="28">
        <v>51</v>
      </c>
      <c r="G301" s="28">
        <v>441</v>
      </c>
      <c r="H301" s="28">
        <v>22805</v>
      </c>
      <c r="I301" s="28">
        <v>21890</v>
      </c>
      <c r="J301" s="28">
        <v>45</v>
      </c>
      <c r="K301" s="28" t="s">
        <v>157</v>
      </c>
      <c r="L301" s="28" t="s">
        <v>11</v>
      </c>
      <c r="M301" s="31">
        <v>0.22157421618066217</v>
      </c>
    </row>
    <row r="302" spans="1:13" x14ac:dyDescent="0.35">
      <c r="A302" s="26" t="s">
        <v>339</v>
      </c>
      <c r="B302" s="26" t="s">
        <v>33</v>
      </c>
      <c r="C302" s="27">
        <v>45672</v>
      </c>
      <c r="D302" s="26" t="s">
        <v>48</v>
      </c>
      <c r="E302" s="26">
        <v>3774</v>
      </c>
      <c r="F302" s="26">
        <v>239</v>
      </c>
      <c r="G302" s="26">
        <v>39</v>
      </c>
      <c r="H302" s="26">
        <v>60384</v>
      </c>
      <c r="I302" s="26">
        <v>59490</v>
      </c>
      <c r="J302" s="26">
        <v>241</v>
      </c>
      <c r="K302" s="26" t="s">
        <v>157</v>
      </c>
      <c r="L302" s="26" t="s">
        <v>15</v>
      </c>
      <c r="M302" s="30">
        <v>6.7103868574456813E-2</v>
      </c>
    </row>
    <row r="303" spans="1:13" x14ac:dyDescent="0.35">
      <c r="A303" s="28" t="s">
        <v>139</v>
      </c>
      <c r="B303" s="28" t="s">
        <v>30</v>
      </c>
      <c r="C303" s="29">
        <v>45582</v>
      </c>
      <c r="D303" s="28" t="s">
        <v>58</v>
      </c>
      <c r="E303" s="28">
        <v>3575</v>
      </c>
      <c r="F303" s="28">
        <v>749</v>
      </c>
      <c r="G303" s="28">
        <v>111</v>
      </c>
      <c r="H303" s="28">
        <v>21450</v>
      </c>
      <c r="I303" s="28">
        <v>20785</v>
      </c>
      <c r="J303" s="28">
        <v>195</v>
      </c>
      <c r="K303" s="28" t="s">
        <v>46</v>
      </c>
      <c r="L303" s="28" t="s">
        <v>11</v>
      </c>
      <c r="M303" s="31">
        <v>0.20675990675990677</v>
      </c>
    </row>
    <row r="304" spans="1:13" x14ac:dyDescent="0.35">
      <c r="A304" s="26" t="s">
        <v>340</v>
      </c>
      <c r="B304" s="26" t="s">
        <v>30</v>
      </c>
      <c r="C304" s="27">
        <v>45743</v>
      </c>
      <c r="D304" s="26" t="s">
        <v>54</v>
      </c>
      <c r="E304" s="26">
        <v>4941</v>
      </c>
      <c r="F304" s="26">
        <v>414</v>
      </c>
      <c r="G304" s="26">
        <v>266</v>
      </c>
      <c r="H304" s="26">
        <v>39528</v>
      </c>
      <c r="I304" s="26">
        <v>39154</v>
      </c>
      <c r="J304" s="26">
        <v>217</v>
      </c>
      <c r="K304" s="26" t="s">
        <v>157</v>
      </c>
      <c r="L304" s="26" t="s">
        <v>15</v>
      </c>
      <c r="M304" s="30">
        <v>0.14220299534507186</v>
      </c>
    </row>
    <row r="305" spans="1:13" x14ac:dyDescent="0.35">
      <c r="A305" s="28" t="s">
        <v>140</v>
      </c>
      <c r="B305" s="28" t="s">
        <v>33</v>
      </c>
      <c r="C305" s="29">
        <v>45577</v>
      </c>
      <c r="D305" s="28" t="s">
        <v>45</v>
      </c>
      <c r="E305" s="28">
        <v>3641</v>
      </c>
      <c r="F305" s="28">
        <v>226</v>
      </c>
      <c r="G305" s="28">
        <v>46</v>
      </c>
      <c r="H305" s="28">
        <v>40051</v>
      </c>
      <c r="I305" s="28">
        <v>39319</v>
      </c>
      <c r="J305" s="28">
        <v>296</v>
      </c>
      <c r="K305" s="28" t="s">
        <v>46</v>
      </c>
      <c r="L305" s="28" t="s">
        <v>19</v>
      </c>
      <c r="M305" s="31">
        <v>9.7700431949264685E-2</v>
      </c>
    </row>
    <row r="306" spans="1:13" x14ac:dyDescent="0.35">
      <c r="A306" s="26" t="s">
        <v>341</v>
      </c>
      <c r="B306" s="26" t="s">
        <v>32</v>
      </c>
      <c r="C306" s="27">
        <v>45658</v>
      </c>
      <c r="D306" s="26" t="s">
        <v>52</v>
      </c>
      <c r="E306" s="26">
        <v>3535</v>
      </c>
      <c r="F306" s="26">
        <v>494</v>
      </c>
      <c r="G306" s="26">
        <v>152</v>
      </c>
      <c r="H306" s="26">
        <v>53025</v>
      </c>
      <c r="I306" s="26">
        <v>52791</v>
      </c>
      <c r="J306" s="26">
        <v>44</v>
      </c>
      <c r="K306" s="26" t="s">
        <v>157</v>
      </c>
      <c r="L306" s="26" t="s">
        <v>19</v>
      </c>
      <c r="M306" s="30">
        <v>7.8849599245638849E-2</v>
      </c>
    </row>
    <row r="307" spans="1:13" x14ac:dyDescent="0.35">
      <c r="A307" s="28" t="s">
        <v>141</v>
      </c>
      <c r="B307" s="28" t="s">
        <v>31</v>
      </c>
      <c r="C307" s="29">
        <v>45509</v>
      </c>
      <c r="D307" s="28" t="s">
        <v>48</v>
      </c>
      <c r="E307" s="28">
        <v>1741</v>
      </c>
      <c r="F307" s="28">
        <v>831</v>
      </c>
      <c r="G307" s="28">
        <v>345</v>
      </c>
      <c r="H307" s="28">
        <v>17410</v>
      </c>
      <c r="I307" s="28">
        <v>16844</v>
      </c>
      <c r="J307" s="28">
        <v>58</v>
      </c>
      <c r="K307" s="28" t="s">
        <v>46</v>
      </c>
      <c r="L307" s="28" t="s">
        <v>15</v>
      </c>
      <c r="M307" s="31">
        <v>0.16754738655944859</v>
      </c>
    </row>
    <row r="308" spans="1:13" x14ac:dyDescent="0.35">
      <c r="A308" s="26" t="s">
        <v>342</v>
      </c>
      <c r="B308" s="26" t="s">
        <v>32</v>
      </c>
      <c r="C308" s="27">
        <v>45450</v>
      </c>
      <c r="D308" s="26" t="s">
        <v>52</v>
      </c>
      <c r="E308" s="26">
        <v>1556</v>
      </c>
      <c r="F308" s="26">
        <v>195</v>
      </c>
      <c r="G308" s="26">
        <v>131</v>
      </c>
      <c r="H308" s="26">
        <v>9336</v>
      </c>
      <c r="I308" s="26">
        <v>8875</v>
      </c>
      <c r="J308" s="26">
        <v>137</v>
      </c>
      <c r="K308" s="26" t="s">
        <v>157</v>
      </c>
      <c r="L308" s="26" t="s">
        <v>11</v>
      </c>
      <c r="M308" s="30">
        <v>0.2015852613538989</v>
      </c>
    </row>
    <row r="309" spans="1:13" x14ac:dyDescent="0.35">
      <c r="A309" s="28" t="s">
        <v>343</v>
      </c>
      <c r="B309" s="28" t="s">
        <v>31</v>
      </c>
      <c r="C309" s="29">
        <v>45753</v>
      </c>
      <c r="D309" s="28" t="s">
        <v>50</v>
      </c>
      <c r="E309" s="28">
        <v>4236</v>
      </c>
      <c r="F309" s="28">
        <v>711</v>
      </c>
      <c r="G309" s="28">
        <v>298</v>
      </c>
      <c r="H309" s="28">
        <v>21180</v>
      </c>
      <c r="I309" s="28">
        <v>20516</v>
      </c>
      <c r="J309" s="28">
        <v>238</v>
      </c>
      <c r="K309" s="28" t="s">
        <v>154</v>
      </c>
      <c r="L309" s="28" t="s">
        <v>7</v>
      </c>
      <c r="M309" s="31">
        <v>0.24763928234183191</v>
      </c>
    </row>
    <row r="310" spans="1:13" x14ac:dyDescent="0.35">
      <c r="A310" s="26" t="s">
        <v>142</v>
      </c>
      <c r="B310" s="26" t="s">
        <v>32</v>
      </c>
      <c r="C310" s="27">
        <v>45622</v>
      </c>
      <c r="D310" s="26" t="s">
        <v>54</v>
      </c>
      <c r="E310" s="26">
        <v>4516</v>
      </c>
      <c r="F310" s="26">
        <v>836</v>
      </c>
      <c r="G310" s="26">
        <v>169</v>
      </c>
      <c r="H310" s="26">
        <v>49676</v>
      </c>
      <c r="I310" s="26">
        <v>49257</v>
      </c>
      <c r="J310" s="26">
        <v>282</v>
      </c>
      <c r="K310" s="26" t="s">
        <v>46</v>
      </c>
      <c r="L310" s="26" t="s">
        <v>19</v>
      </c>
      <c r="M310" s="30">
        <v>0.11114018842096789</v>
      </c>
    </row>
    <row r="311" spans="1:13" x14ac:dyDescent="0.35">
      <c r="A311" s="28" t="s">
        <v>344</v>
      </c>
      <c r="B311" s="28" t="s">
        <v>33</v>
      </c>
      <c r="C311" s="29">
        <v>45537</v>
      </c>
      <c r="D311" s="28" t="s">
        <v>50</v>
      </c>
      <c r="E311" s="28">
        <v>4905</v>
      </c>
      <c r="F311" s="28">
        <v>845</v>
      </c>
      <c r="G311" s="28">
        <v>129</v>
      </c>
      <c r="H311" s="28">
        <v>98100</v>
      </c>
      <c r="I311" s="28">
        <v>97772</v>
      </c>
      <c r="J311" s="28">
        <v>279</v>
      </c>
      <c r="K311" s="28" t="s">
        <v>157</v>
      </c>
      <c r="L311" s="28" t="s">
        <v>11</v>
      </c>
      <c r="M311" s="31">
        <v>5.9928644240570851E-2</v>
      </c>
    </row>
    <row r="312" spans="1:13" x14ac:dyDescent="0.35">
      <c r="A312" s="26" t="s">
        <v>143</v>
      </c>
      <c r="B312" s="26" t="s">
        <v>33</v>
      </c>
      <c r="C312" s="27">
        <v>45586</v>
      </c>
      <c r="D312" s="26" t="s">
        <v>58</v>
      </c>
      <c r="E312" s="26">
        <v>4275</v>
      </c>
      <c r="F312" s="26">
        <v>680</v>
      </c>
      <c r="G312" s="26">
        <v>385</v>
      </c>
      <c r="H312" s="26">
        <v>64125</v>
      </c>
      <c r="I312" s="26">
        <v>63650</v>
      </c>
      <c r="J312" s="26">
        <v>104</v>
      </c>
      <c r="K312" s="26" t="s">
        <v>46</v>
      </c>
      <c r="L312" s="26" t="s">
        <v>19</v>
      </c>
      <c r="M312" s="30">
        <v>8.3274853801169585E-2</v>
      </c>
    </row>
    <row r="313" spans="1:13" x14ac:dyDescent="0.35">
      <c r="A313" s="28" t="s">
        <v>143</v>
      </c>
      <c r="B313" s="28" t="s">
        <v>33</v>
      </c>
      <c r="C313" s="29">
        <v>45586</v>
      </c>
      <c r="D313" s="28" t="s">
        <v>58</v>
      </c>
      <c r="E313" s="28">
        <v>4275</v>
      </c>
      <c r="F313" s="28">
        <v>680</v>
      </c>
      <c r="G313" s="28">
        <v>385</v>
      </c>
      <c r="H313" s="28">
        <v>64125</v>
      </c>
      <c r="I313" s="28">
        <v>63650</v>
      </c>
      <c r="J313" s="28">
        <v>104</v>
      </c>
      <c r="K313" s="28" t="s">
        <v>157</v>
      </c>
      <c r="L313" s="28" t="s">
        <v>19</v>
      </c>
      <c r="M313" s="31">
        <v>8.3274853801169585E-2</v>
      </c>
    </row>
    <row r="314" spans="1:13" x14ac:dyDescent="0.35">
      <c r="A314" s="26" t="s">
        <v>143</v>
      </c>
      <c r="B314" s="26" t="s">
        <v>33</v>
      </c>
      <c r="C314" s="27">
        <v>45586</v>
      </c>
      <c r="D314" s="26" t="s">
        <v>58</v>
      </c>
      <c r="E314" s="26">
        <v>4275</v>
      </c>
      <c r="F314" s="26">
        <v>680</v>
      </c>
      <c r="G314" s="26">
        <v>385</v>
      </c>
      <c r="H314" s="26">
        <v>64125</v>
      </c>
      <c r="I314" s="26">
        <v>63650</v>
      </c>
      <c r="J314" s="26">
        <v>104</v>
      </c>
      <c r="K314" s="26" t="s">
        <v>155</v>
      </c>
      <c r="L314" s="26" t="s">
        <v>19</v>
      </c>
      <c r="M314" s="30">
        <v>8.3274853801169585E-2</v>
      </c>
    </row>
    <row r="315" spans="1:13" x14ac:dyDescent="0.35">
      <c r="A315" s="28" t="s">
        <v>144</v>
      </c>
      <c r="B315" s="28" t="s">
        <v>33</v>
      </c>
      <c r="C315" s="29">
        <v>45738</v>
      </c>
      <c r="D315" s="28" t="s">
        <v>50</v>
      </c>
      <c r="E315" s="28">
        <v>3166</v>
      </c>
      <c r="F315" s="28">
        <v>90</v>
      </c>
      <c r="G315" s="28">
        <v>341</v>
      </c>
      <c r="H315" s="28">
        <v>56988</v>
      </c>
      <c r="I315" s="28">
        <v>56125</v>
      </c>
      <c r="J315" s="28">
        <v>135</v>
      </c>
      <c r="K315" s="28" t="s">
        <v>46</v>
      </c>
      <c r="L315" s="28" t="s">
        <v>11</v>
      </c>
      <c r="M315" s="31">
        <v>6.3118551273952411E-2</v>
      </c>
    </row>
    <row r="316" spans="1:13" x14ac:dyDescent="0.35">
      <c r="A316" s="26" t="s">
        <v>345</v>
      </c>
      <c r="B316" s="26" t="s">
        <v>30</v>
      </c>
      <c r="C316" s="27">
        <v>45568</v>
      </c>
      <c r="D316" s="26" t="s">
        <v>58</v>
      </c>
      <c r="E316" s="26">
        <v>1488</v>
      </c>
      <c r="F316" s="26">
        <v>417</v>
      </c>
      <c r="G316" s="26">
        <v>168</v>
      </c>
      <c r="H316" s="26">
        <v>19344</v>
      </c>
      <c r="I316" s="26">
        <v>18395</v>
      </c>
      <c r="J316" s="26">
        <v>30</v>
      </c>
      <c r="K316" s="26" t="s">
        <v>154</v>
      </c>
      <c r="L316" s="26" t="s">
        <v>15</v>
      </c>
      <c r="M316" s="30">
        <v>0.1071650124069479</v>
      </c>
    </row>
    <row r="317" spans="1:13" x14ac:dyDescent="0.35">
      <c r="A317" s="28" t="s">
        <v>346</v>
      </c>
      <c r="B317" s="28" t="s">
        <v>32</v>
      </c>
      <c r="C317" s="29">
        <v>45786</v>
      </c>
      <c r="D317" s="28" t="s">
        <v>48</v>
      </c>
      <c r="E317" s="28">
        <v>3367</v>
      </c>
      <c r="F317" s="28">
        <v>302</v>
      </c>
      <c r="G317" s="28">
        <v>57</v>
      </c>
      <c r="H317" s="28">
        <v>63973</v>
      </c>
      <c r="I317" s="28">
        <v>63789</v>
      </c>
      <c r="J317" s="28">
        <v>157</v>
      </c>
      <c r="K317" s="28" t="s">
        <v>154</v>
      </c>
      <c r="L317" s="28" t="s">
        <v>11</v>
      </c>
      <c r="M317" s="31">
        <v>5.8243321401216137E-2</v>
      </c>
    </row>
    <row r="318" spans="1:13" x14ac:dyDescent="0.35">
      <c r="A318" s="26" t="s">
        <v>347</v>
      </c>
      <c r="B318" s="26" t="s">
        <v>32</v>
      </c>
      <c r="C318" s="27">
        <v>45552</v>
      </c>
      <c r="D318" s="26" t="s">
        <v>54</v>
      </c>
      <c r="E318" s="26">
        <v>571</v>
      </c>
      <c r="F318" s="26">
        <v>190</v>
      </c>
      <c r="G318" s="26">
        <v>352</v>
      </c>
      <c r="H318" s="26">
        <v>9707</v>
      </c>
      <c r="I318" s="26">
        <v>9418</v>
      </c>
      <c r="J318" s="26">
        <v>231</v>
      </c>
      <c r="K318" s="26" t="s">
        <v>157</v>
      </c>
      <c r="L318" s="26" t="s">
        <v>19</v>
      </c>
      <c r="M318" s="30">
        <v>0.1146595240548058</v>
      </c>
    </row>
    <row r="319" spans="1:13" x14ac:dyDescent="0.35">
      <c r="A319" s="28" t="s">
        <v>145</v>
      </c>
      <c r="B319" s="28" t="s">
        <v>33</v>
      </c>
      <c r="C319" s="29">
        <v>45491</v>
      </c>
      <c r="D319" s="28" t="s">
        <v>54</v>
      </c>
      <c r="E319" s="28">
        <v>4021</v>
      </c>
      <c r="F319" s="28">
        <v>794</v>
      </c>
      <c r="G319" s="28">
        <v>77</v>
      </c>
      <c r="H319" s="28">
        <v>36189</v>
      </c>
      <c r="I319" s="28">
        <v>35505</v>
      </c>
      <c r="J319" s="28">
        <v>174</v>
      </c>
      <c r="K319" s="28" t="s">
        <v>46</v>
      </c>
      <c r="L319" s="28" t="s">
        <v>56</v>
      </c>
      <c r="M319" s="31">
        <v>0.13517919809886983</v>
      </c>
    </row>
    <row r="320" spans="1:13" x14ac:dyDescent="0.35">
      <c r="A320" s="26" t="s">
        <v>348</v>
      </c>
      <c r="B320" s="26" t="s">
        <v>33</v>
      </c>
      <c r="C320" s="27">
        <v>45560</v>
      </c>
      <c r="D320" s="26" t="s">
        <v>58</v>
      </c>
      <c r="E320" s="26">
        <v>3389</v>
      </c>
      <c r="F320" s="26">
        <v>344</v>
      </c>
      <c r="G320" s="26">
        <v>229</v>
      </c>
      <c r="H320" s="26">
        <v>20334</v>
      </c>
      <c r="I320" s="26">
        <v>19443</v>
      </c>
      <c r="J320" s="26">
        <v>228</v>
      </c>
      <c r="K320" s="26" t="s">
        <v>154</v>
      </c>
      <c r="L320" s="26" t="s">
        <v>15</v>
      </c>
      <c r="M320" s="30">
        <v>0.19484607062063539</v>
      </c>
    </row>
    <row r="321" spans="1:13" x14ac:dyDescent="0.35">
      <c r="A321" s="28" t="s">
        <v>146</v>
      </c>
      <c r="B321" s="28" t="s">
        <v>30</v>
      </c>
      <c r="C321" s="29">
        <v>45519</v>
      </c>
      <c r="D321" s="28" t="s">
        <v>48</v>
      </c>
      <c r="E321" s="28">
        <v>1164</v>
      </c>
      <c r="F321" s="28">
        <v>616</v>
      </c>
      <c r="G321" s="28">
        <v>324</v>
      </c>
      <c r="H321" s="28">
        <v>6984</v>
      </c>
      <c r="I321" s="28">
        <v>6636</v>
      </c>
      <c r="J321" s="28">
        <v>82</v>
      </c>
      <c r="K321" s="28" t="s">
        <v>46</v>
      </c>
      <c r="L321" s="28" t="s">
        <v>7</v>
      </c>
      <c r="M321" s="31">
        <v>0.30126002290950743</v>
      </c>
    </row>
    <row r="322" spans="1:13" x14ac:dyDescent="0.35">
      <c r="A322" s="26" t="s">
        <v>349</v>
      </c>
      <c r="B322" s="26" t="s">
        <v>33</v>
      </c>
      <c r="C322" s="27">
        <v>45764</v>
      </c>
      <c r="D322" s="26" t="s">
        <v>52</v>
      </c>
      <c r="E322" s="26">
        <v>4780</v>
      </c>
      <c r="F322" s="26">
        <v>691</v>
      </c>
      <c r="G322" s="26">
        <v>380</v>
      </c>
      <c r="H322" s="26">
        <v>86040</v>
      </c>
      <c r="I322" s="26">
        <v>85743</v>
      </c>
      <c r="J322" s="26">
        <v>262</v>
      </c>
      <c r="K322" s="26" t="s">
        <v>154</v>
      </c>
      <c r="L322" s="26" t="s">
        <v>15</v>
      </c>
      <c r="M322" s="30">
        <v>6.800325430032543E-2</v>
      </c>
    </row>
    <row r="323" spans="1:13" x14ac:dyDescent="0.35">
      <c r="A323" s="28" t="s">
        <v>350</v>
      </c>
      <c r="B323" s="28" t="s">
        <v>31</v>
      </c>
      <c r="C323" s="29">
        <v>45624</v>
      </c>
      <c r="D323" s="28" t="s">
        <v>52</v>
      </c>
      <c r="E323" s="28">
        <v>2751</v>
      </c>
      <c r="F323" s="28">
        <v>33</v>
      </c>
      <c r="G323" s="28">
        <v>430</v>
      </c>
      <c r="H323" s="28">
        <v>44016</v>
      </c>
      <c r="I323" s="28">
        <v>43415</v>
      </c>
      <c r="J323" s="28">
        <v>129</v>
      </c>
      <c r="K323" s="28" t="s">
        <v>154</v>
      </c>
      <c r="L323" s="28" t="s">
        <v>56</v>
      </c>
      <c r="M323" s="31">
        <v>7.3018902217375503E-2</v>
      </c>
    </row>
    <row r="324" spans="1:13" x14ac:dyDescent="0.35">
      <c r="A324" s="26" t="s">
        <v>147</v>
      </c>
      <c r="B324" s="26" t="s">
        <v>30</v>
      </c>
      <c r="C324" s="27">
        <v>45646</v>
      </c>
      <c r="D324" s="26" t="s">
        <v>52</v>
      </c>
      <c r="E324" s="26">
        <v>2107</v>
      </c>
      <c r="F324" s="26">
        <v>550</v>
      </c>
      <c r="G324" s="26">
        <v>349</v>
      </c>
      <c r="H324" s="26">
        <v>35819</v>
      </c>
      <c r="I324" s="26">
        <v>35340</v>
      </c>
      <c r="J324" s="26">
        <v>191</v>
      </c>
      <c r="K324" s="26" t="s">
        <v>46</v>
      </c>
      <c r="L324" s="26" t="s">
        <v>19</v>
      </c>
      <c r="M324" s="30">
        <v>8.3921940869371006E-2</v>
      </c>
    </row>
    <row r="325" spans="1:13" x14ac:dyDescent="0.35">
      <c r="A325" s="28" t="s">
        <v>148</v>
      </c>
      <c r="B325" s="28" t="s">
        <v>31</v>
      </c>
      <c r="C325" s="29">
        <v>45602</v>
      </c>
      <c r="D325" s="28" t="s">
        <v>58</v>
      </c>
      <c r="E325" s="28">
        <v>4663</v>
      </c>
      <c r="F325" s="28">
        <v>145</v>
      </c>
      <c r="G325" s="28">
        <v>225</v>
      </c>
      <c r="H325" s="28">
        <v>69945</v>
      </c>
      <c r="I325" s="28">
        <v>69596</v>
      </c>
      <c r="J325" s="28">
        <v>35</v>
      </c>
      <c r="K325" s="28" t="s">
        <v>46</v>
      </c>
      <c r="L325" s="28" t="s">
        <v>19</v>
      </c>
      <c r="M325" s="31">
        <v>7.1956537279290869E-2</v>
      </c>
    </row>
    <row r="326" spans="1:13" x14ac:dyDescent="0.35">
      <c r="A326" s="26" t="s">
        <v>351</v>
      </c>
      <c r="B326" s="26" t="s">
        <v>31</v>
      </c>
      <c r="C326" s="27">
        <v>45613</v>
      </c>
      <c r="D326" s="26" t="s">
        <v>54</v>
      </c>
      <c r="E326" s="26">
        <v>880</v>
      </c>
      <c r="F326" s="26">
        <v>297</v>
      </c>
      <c r="G326" s="26">
        <v>345</v>
      </c>
      <c r="H326" s="26">
        <v>12320</v>
      </c>
      <c r="I326" s="26">
        <v>11978</v>
      </c>
      <c r="J326" s="26">
        <v>238</v>
      </c>
      <c r="K326" s="26" t="s">
        <v>157</v>
      </c>
      <c r="L326" s="26" t="s">
        <v>56</v>
      </c>
      <c r="M326" s="30">
        <v>0.12353896103896105</v>
      </c>
    </row>
    <row r="327" spans="1:13" x14ac:dyDescent="0.35">
      <c r="A327" s="28" t="s">
        <v>351</v>
      </c>
      <c r="B327" s="28" t="s">
        <v>31</v>
      </c>
      <c r="C327" s="29">
        <v>45613</v>
      </c>
      <c r="D327" s="28" t="s">
        <v>54</v>
      </c>
      <c r="E327" s="28">
        <v>880</v>
      </c>
      <c r="F327" s="28">
        <v>297</v>
      </c>
      <c r="G327" s="28">
        <v>345</v>
      </c>
      <c r="H327" s="28">
        <v>12320</v>
      </c>
      <c r="I327" s="28">
        <v>11978</v>
      </c>
      <c r="J327" s="28">
        <v>238</v>
      </c>
      <c r="K327" s="28" t="s">
        <v>155</v>
      </c>
      <c r="L327" s="28" t="s">
        <v>56</v>
      </c>
      <c r="M327" s="31">
        <v>0.12353896103896105</v>
      </c>
    </row>
    <row r="328" spans="1:13" x14ac:dyDescent="0.35">
      <c r="A328" s="26" t="s">
        <v>149</v>
      </c>
      <c r="B328" s="26" t="s">
        <v>31</v>
      </c>
      <c r="C328" s="27">
        <v>45791</v>
      </c>
      <c r="D328" s="26" t="s">
        <v>54</v>
      </c>
      <c r="E328" s="26">
        <v>2634</v>
      </c>
      <c r="F328" s="26">
        <v>726</v>
      </c>
      <c r="G328" s="26">
        <v>241</v>
      </c>
      <c r="H328" s="26">
        <v>28974</v>
      </c>
      <c r="I328" s="26">
        <v>28102</v>
      </c>
      <c r="J328" s="26">
        <v>277</v>
      </c>
      <c r="K328" s="26" t="s">
        <v>46</v>
      </c>
      <c r="L328" s="26" t="s">
        <v>7</v>
      </c>
      <c r="M328" s="30">
        <v>0.12428384068475185</v>
      </c>
    </row>
    <row r="329" spans="1:13" x14ac:dyDescent="0.35">
      <c r="A329" s="28" t="s">
        <v>150</v>
      </c>
      <c r="B329" s="28" t="s">
        <v>31</v>
      </c>
      <c r="C329" s="29">
        <v>45462</v>
      </c>
      <c r="D329" s="28" t="s">
        <v>52</v>
      </c>
      <c r="E329" s="28">
        <v>4731</v>
      </c>
      <c r="F329" s="28">
        <v>173</v>
      </c>
      <c r="G329" s="28">
        <v>276</v>
      </c>
      <c r="H329" s="28">
        <v>28386</v>
      </c>
      <c r="I329" s="28">
        <v>28185</v>
      </c>
      <c r="J329" s="28">
        <v>89</v>
      </c>
      <c r="K329" s="28" t="s">
        <v>46</v>
      </c>
      <c r="L329" s="28" t="s">
        <v>15</v>
      </c>
      <c r="M329" s="31">
        <v>0.18248432325794409</v>
      </c>
    </row>
    <row r="330" spans="1:13" x14ac:dyDescent="0.35">
      <c r="A330" s="26" t="s">
        <v>352</v>
      </c>
      <c r="B330" s="26" t="s">
        <v>32</v>
      </c>
      <c r="C330" s="27">
        <v>45783</v>
      </c>
      <c r="D330" s="26" t="s">
        <v>50</v>
      </c>
      <c r="E330" s="26">
        <v>1952</v>
      </c>
      <c r="F330" s="26">
        <v>344</v>
      </c>
      <c r="G330" s="26">
        <v>287</v>
      </c>
      <c r="H330" s="26">
        <v>15616</v>
      </c>
      <c r="I330" s="26">
        <v>15403</v>
      </c>
      <c r="J330" s="26">
        <v>235</v>
      </c>
      <c r="K330" s="26" t="s">
        <v>154</v>
      </c>
      <c r="L330" s="26" t="s">
        <v>11</v>
      </c>
      <c r="M330" s="30">
        <v>0.16540727459016394</v>
      </c>
    </row>
    <row r="331" spans="1:13" x14ac:dyDescent="0.35">
      <c r="A331" s="28" t="s">
        <v>352</v>
      </c>
      <c r="B331" s="28" t="s">
        <v>32</v>
      </c>
      <c r="C331" s="29">
        <v>45783</v>
      </c>
      <c r="D331" s="28" t="s">
        <v>50</v>
      </c>
      <c r="E331" s="28">
        <v>1952</v>
      </c>
      <c r="F331" s="28">
        <v>344</v>
      </c>
      <c r="G331" s="28">
        <v>287</v>
      </c>
      <c r="H331" s="28">
        <v>15616</v>
      </c>
      <c r="I331" s="28">
        <v>15403</v>
      </c>
      <c r="J331" s="28">
        <v>235</v>
      </c>
      <c r="K331" s="28" t="s">
        <v>157</v>
      </c>
      <c r="L331" s="28" t="s">
        <v>11</v>
      </c>
      <c r="M331" s="31">
        <v>0.16540727459016394</v>
      </c>
    </row>
    <row r="332" spans="1:13" x14ac:dyDescent="0.35">
      <c r="A332" s="26" t="s">
        <v>352</v>
      </c>
      <c r="B332" s="26" t="s">
        <v>32</v>
      </c>
      <c r="C332" s="27">
        <v>45783</v>
      </c>
      <c r="D332" s="26" t="s">
        <v>50</v>
      </c>
      <c r="E332" s="26">
        <v>1952</v>
      </c>
      <c r="F332" s="26">
        <v>344</v>
      </c>
      <c r="G332" s="26">
        <v>287</v>
      </c>
      <c r="H332" s="26">
        <v>15616</v>
      </c>
      <c r="I332" s="26">
        <v>15403</v>
      </c>
      <c r="J332" s="26">
        <v>235</v>
      </c>
      <c r="K332" s="26" t="s">
        <v>155</v>
      </c>
      <c r="L332" s="26" t="s">
        <v>11</v>
      </c>
      <c r="M332" s="30">
        <v>0.16540727459016394</v>
      </c>
    </row>
    <row r="333" spans="1:13" x14ac:dyDescent="0.35">
      <c r="A333" s="28" t="s">
        <v>353</v>
      </c>
      <c r="B333" s="28" t="s">
        <v>32</v>
      </c>
      <c r="C333" s="29">
        <v>45699</v>
      </c>
      <c r="D333" s="28" t="s">
        <v>58</v>
      </c>
      <c r="E333" s="28">
        <v>3440</v>
      </c>
      <c r="F333" s="28">
        <v>13</v>
      </c>
      <c r="G333" s="28">
        <v>20</v>
      </c>
      <c r="H333" s="28">
        <v>58480</v>
      </c>
      <c r="I333" s="28">
        <v>58146</v>
      </c>
      <c r="J333" s="28">
        <v>210</v>
      </c>
      <c r="K333" s="28" t="s">
        <v>157</v>
      </c>
      <c r="L333" s="28" t="s">
        <v>19</v>
      </c>
      <c r="M333" s="31">
        <v>5.9387824897400819E-2</v>
      </c>
    </row>
    <row r="334" spans="1:13" x14ac:dyDescent="0.35">
      <c r="A334" s="26" t="s">
        <v>353</v>
      </c>
      <c r="B334" s="26" t="s">
        <v>32</v>
      </c>
      <c r="C334" s="27">
        <v>45699</v>
      </c>
      <c r="D334" s="26" t="s">
        <v>58</v>
      </c>
      <c r="E334" s="26">
        <v>3440</v>
      </c>
      <c r="F334" s="26">
        <v>13</v>
      </c>
      <c r="G334" s="26">
        <v>20</v>
      </c>
      <c r="H334" s="26">
        <v>58480</v>
      </c>
      <c r="I334" s="26">
        <v>58146</v>
      </c>
      <c r="J334" s="26">
        <v>210</v>
      </c>
      <c r="K334" s="26" t="s">
        <v>18</v>
      </c>
      <c r="L334" s="26" t="s">
        <v>19</v>
      </c>
      <c r="M334" s="30">
        <v>5.9387824897400819E-2</v>
      </c>
    </row>
    <row r="335" spans="1:13" x14ac:dyDescent="0.35">
      <c r="A335" s="28" t="s">
        <v>151</v>
      </c>
      <c r="B335" s="28" t="s">
        <v>32</v>
      </c>
      <c r="C335" s="29">
        <v>45650</v>
      </c>
      <c r="D335" s="28" t="s">
        <v>54</v>
      </c>
      <c r="E335" s="28">
        <v>2166</v>
      </c>
      <c r="F335" s="28">
        <v>354</v>
      </c>
      <c r="G335" s="28">
        <v>117</v>
      </c>
      <c r="H335" s="28">
        <v>10830</v>
      </c>
      <c r="I335" s="28">
        <v>10245</v>
      </c>
      <c r="J335" s="28">
        <v>24</v>
      </c>
      <c r="K335" s="28" t="s">
        <v>46</v>
      </c>
      <c r="L335" s="28" t="s">
        <v>19</v>
      </c>
      <c r="M335" s="31">
        <v>0.24349030470914129</v>
      </c>
    </row>
    <row r="336" spans="1:13" x14ac:dyDescent="0.35">
      <c r="A336" s="26" t="s">
        <v>354</v>
      </c>
      <c r="B336" s="26" t="s">
        <v>31</v>
      </c>
      <c r="C336" s="27">
        <v>45589</v>
      </c>
      <c r="D336" s="26" t="s">
        <v>50</v>
      </c>
      <c r="E336" s="26">
        <v>4303</v>
      </c>
      <c r="F336" s="26">
        <v>451</v>
      </c>
      <c r="G336" s="26">
        <v>286</v>
      </c>
      <c r="H336" s="26">
        <v>86060</v>
      </c>
      <c r="I336" s="26">
        <v>85823</v>
      </c>
      <c r="J336" s="26">
        <v>14</v>
      </c>
      <c r="K336" s="26" t="s">
        <v>157</v>
      </c>
      <c r="L336" s="26" t="s">
        <v>15</v>
      </c>
      <c r="M336" s="30">
        <v>5.8563792702765523E-2</v>
      </c>
    </row>
    <row r="337" spans="1:13" x14ac:dyDescent="0.35">
      <c r="A337" s="28" t="s">
        <v>355</v>
      </c>
      <c r="B337" s="28" t="s">
        <v>31</v>
      </c>
      <c r="C337" s="29">
        <v>45530</v>
      </c>
      <c r="D337" s="28" t="s">
        <v>50</v>
      </c>
      <c r="E337" s="28">
        <v>2581</v>
      </c>
      <c r="F337" s="28">
        <v>517</v>
      </c>
      <c r="G337" s="28">
        <v>117</v>
      </c>
      <c r="H337" s="28">
        <v>23229</v>
      </c>
      <c r="I337" s="28">
        <v>22331</v>
      </c>
      <c r="J337" s="28">
        <v>70</v>
      </c>
      <c r="K337" s="28" t="s">
        <v>154</v>
      </c>
      <c r="L337" s="28" t="s">
        <v>15</v>
      </c>
      <c r="M337" s="31">
        <v>0.13840458048129492</v>
      </c>
    </row>
    <row r="338" spans="1:13" x14ac:dyDescent="0.35">
      <c r="A338" s="26" t="s">
        <v>152</v>
      </c>
      <c r="B338" s="26" t="s">
        <v>32</v>
      </c>
      <c r="C338" s="27">
        <v>45535</v>
      </c>
      <c r="D338" s="26" t="s">
        <v>52</v>
      </c>
      <c r="E338" s="26">
        <v>4494</v>
      </c>
      <c r="F338" s="26">
        <v>717</v>
      </c>
      <c r="G338" s="26">
        <v>45</v>
      </c>
      <c r="H338" s="26">
        <v>62916</v>
      </c>
      <c r="I338" s="26">
        <v>62688</v>
      </c>
      <c r="J338" s="26">
        <v>191</v>
      </c>
      <c r="K338" s="26" t="s">
        <v>157</v>
      </c>
      <c r="L338" s="26" t="s">
        <v>7</v>
      </c>
      <c r="M338" s="30">
        <v>8.3539958039290485E-2</v>
      </c>
    </row>
    <row r="339" spans="1:13" x14ac:dyDescent="0.35">
      <c r="A339" s="28" t="s">
        <v>152</v>
      </c>
      <c r="B339" s="28" t="s">
        <v>32</v>
      </c>
      <c r="C339" s="29">
        <v>45535</v>
      </c>
      <c r="D339" s="28" t="s">
        <v>52</v>
      </c>
      <c r="E339" s="28">
        <v>4494</v>
      </c>
      <c r="F339" s="28">
        <v>717</v>
      </c>
      <c r="G339" s="28">
        <v>45</v>
      </c>
      <c r="H339" s="28">
        <v>62916</v>
      </c>
      <c r="I339" s="28">
        <v>62688</v>
      </c>
      <c r="J339" s="28">
        <v>191</v>
      </c>
      <c r="K339" s="28" t="s">
        <v>46</v>
      </c>
      <c r="L339" s="28" t="s">
        <v>7</v>
      </c>
      <c r="M339" s="31">
        <v>8.3539958039290485E-2</v>
      </c>
    </row>
    <row r="340" spans="1:13" ht="15" thickBot="1" x14ac:dyDescent="0.4">
      <c r="A340" s="26" t="s">
        <v>152</v>
      </c>
      <c r="B340" s="26" t="s">
        <v>32</v>
      </c>
      <c r="C340" s="27">
        <v>45535</v>
      </c>
      <c r="D340" s="26" t="s">
        <v>52</v>
      </c>
      <c r="E340" s="26">
        <v>4494</v>
      </c>
      <c r="F340" s="26">
        <v>717</v>
      </c>
      <c r="G340" s="26">
        <v>45</v>
      </c>
      <c r="H340" s="26">
        <v>62916</v>
      </c>
      <c r="I340" s="26">
        <v>62688</v>
      </c>
      <c r="J340" s="26">
        <v>191</v>
      </c>
      <c r="K340" s="26" t="s">
        <v>158</v>
      </c>
      <c r="L340" s="26" t="s">
        <v>7</v>
      </c>
      <c r="M340" s="30">
        <v>8.3539958039290485E-2</v>
      </c>
    </row>
    <row r="341" spans="1:13" ht="15" thickTop="1" x14ac:dyDescent="0.35">
      <c r="A341" s="23"/>
      <c r="B341" s="24"/>
      <c r="C341" s="24"/>
      <c r="D341" s="24"/>
      <c r="E341" s="24"/>
      <c r="F341" s="24"/>
      <c r="G341" s="24"/>
      <c r="H341" s="24"/>
      <c r="I341" s="24"/>
      <c r="J341" s="24"/>
      <c r="K341" s="24"/>
      <c r="L341" s="24"/>
      <c r="M341" s="25"/>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3EC79-CE81-4C30-85BF-7FF1B7FFDA25}">
  <dimension ref="A1:I202"/>
  <sheetViews>
    <sheetView zoomScaleNormal="100" workbookViewId="0"/>
  </sheetViews>
  <sheetFormatPr defaultRowHeight="14.5" x14ac:dyDescent="0.35"/>
  <cols>
    <col min="1" max="1" width="18.08984375" bestFit="1" customWidth="1"/>
    <col min="2" max="2" width="10.453125" bestFit="1" customWidth="1"/>
    <col min="3" max="3" width="15.90625" bestFit="1" customWidth="1"/>
    <col min="4" max="4" width="11.453125" bestFit="1" customWidth="1"/>
    <col min="5" max="5" width="16.453125" bestFit="1" customWidth="1"/>
    <col min="6" max="6" width="18.36328125" bestFit="1" customWidth="1"/>
    <col min="7" max="7" width="11.54296875" bestFit="1" customWidth="1"/>
    <col min="8" max="8" width="17.1796875" bestFit="1" customWidth="1"/>
    <col min="9" max="9" width="13.7265625" bestFit="1" customWidth="1"/>
  </cols>
  <sheetData>
    <row r="1" spans="1:9" x14ac:dyDescent="0.35">
      <c r="A1" t="s">
        <v>23</v>
      </c>
      <c r="B1" t="s">
        <v>24</v>
      </c>
      <c r="C1" t="s">
        <v>25</v>
      </c>
      <c r="D1" t="s">
        <v>26</v>
      </c>
      <c r="E1" t="s">
        <v>27</v>
      </c>
      <c r="F1" t="s">
        <v>28</v>
      </c>
      <c r="G1" t="s">
        <v>29</v>
      </c>
      <c r="H1" t="s">
        <v>361</v>
      </c>
      <c r="I1" t="s">
        <v>379</v>
      </c>
    </row>
    <row r="2" spans="1:9" x14ac:dyDescent="0.35">
      <c r="A2" s="1">
        <v>45446</v>
      </c>
      <c r="B2" t="s">
        <v>30</v>
      </c>
      <c r="C2">
        <v>1135</v>
      </c>
      <c r="D2">
        <v>88</v>
      </c>
      <c r="E2">
        <v>344084</v>
      </c>
      <c r="F2">
        <v>8.06</v>
      </c>
      <c r="G2">
        <v>5904</v>
      </c>
      <c r="H2">
        <f>Engagement_Summary[[#This Row],[New_Followers]]-Engagement_Summary[[#This Row],[Unfollows]]</f>
        <v>1047</v>
      </c>
      <c r="I2" s="5">
        <f>Engagement_Summary[[#This Row],[Follower Growth]]/(Engagement_Summary[[#This Row],[Total_Followers]]-Engagement_Summary[[#This Row],[Follower Growth]])</f>
        <v>3.0521488935595868E-3</v>
      </c>
    </row>
    <row r="3" spans="1:9" x14ac:dyDescent="0.35">
      <c r="A3" s="1">
        <v>45446</v>
      </c>
      <c r="B3" t="s">
        <v>31</v>
      </c>
      <c r="C3">
        <v>1312</v>
      </c>
      <c r="D3">
        <v>310</v>
      </c>
      <c r="E3">
        <v>42654</v>
      </c>
      <c r="F3">
        <v>4.9800000000000004</v>
      </c>
      <c r="G3">
        <v>9566</v>
      </c>
      <c r="H3">
        <f>Engagement_Summary[[#This Row],[New_Followers]]-Engagement_Summary[[#This Row],[Unfollows]]</f>
        <v>1002</v>
      </c>
      <c r="I3" s="5">
        <f>Engagement_Summary[[#This Row],[Follower Growth]]/(Engagement_Summary[[#This Row],[Total_Followers]]-Engagement_Summary[[#This Row],[Follower Growth]])</f>
        <v>2.4056467876692595E-2</v>
      </c>
    </row>
    <row r="4" spans="1:9" x14ac:dyDescent="0.35">
      <c r="A4" s="1">
        <v>45446</v>
      </c>
      <c r="B4" t="s">
        <v>32</v>
      </c>
      <c r="C4">
        <v>584</v>
      </c>
      <c r="D4">
        <v>169</v>
      </c>
      <c r="E4">
        <v>146834</v>
      </c>
      <c r="F4">
        <v>8.31</v>
      </c>
      <c r="G4">
        <v>26752</v>
      </c>
      <c r="H4">
        <f>Engagement_Summary[[#This Row],[New_Followers]]-Engagement_Summary[[#This Row],[Unfollows]]</f>
        <v>415</v>
      </c>
      <c r="I4" s="5">
        <f>Engagement_Summary[[#This Row],[Follower Growth]]/(Engagement_Summary[[#This Row],[Total_Followers]]-Engagement_Summary[[#This Row],[Follower Growth]])</f>
        <v>2.8343316099686518E-3</v>
      </c>
    </row>
    <row r="5" spans="1:9" x14ac:dyDescent="0.35">
      <c r="A5" s="1">
        <v>45446</v>
      </c>
      <c r="B5" t="s">
        <v>33</v>
      </c>
      <c r="C5">
        <v>1535</v>
      </c>
      <c r="D5">
        <v>445</v>
      </c>
      <c r="E5">
        <v>395536</v>
      </c>
      <c r="F5">
        <v>4.1100000000000003</v>
      </c>
      <c r="G5">
        <v>30671</v>
      </c>
      <c r="H5">
        <f>Engagement_Summary[[#This Row],[New_Followers]]-Engagement_Summary[[#This Row],[Unfollows]]</f>
        <v>1090</v>
      </c>
      <c r="I5" s="5">
        <f>Engagement_Summary[[#This Row],[Follower Growth]]/(Engagement_Summary[[#This Row],[Total_Followers]]-Engagement_Summary[[#This Row],[Follower Growth]])</f>
        <v>2.7633693838953876E-3</v>
      </c>
    </row>
    <row r="6" spans="1:9" x14ac:dyDescent="0.35">
      <c r="A6" s="1">
        <v>45453</v>
      </c>
      <c r="B6" t="s">
        <v>30</v>
      </c>
      <c r="C6">
        <v>656</v>
      </c>
      <c r="D6">
        <v>139</v>
      </c>
      <c r="E6">
        <v>49157</v>
      </c>
      <c r="F6">
        <v>9.0500000000000007</v>
      </c>
      <c r="G6">
        <v>9920</v>
      </c>
      <c r="H6">
        <f>Engagement_Summary[[#This Row],[New_Followers]]-Engagement_Summary[[#This Row],[Unfollows]]</f>
        <v>517</v>
      </c>
      <c r="I6" s="5">
        <f>Engagement_Summary[[#This Row],[Follower Growth]]/(Engagement_Summary[[#This Row],[Total_Followers]]-Engagement_Summary[[#This Row],[Follower Growth]])</f>
        <v>1.0629111842105262E-2</v>
      </c>
    </row>
    <row r="7" spans="1:9" x14ac:dyDescent="0.35">
      <c r="A7" s="1">
        <v>45453</v>
      </c>
      <c r="B7" t="s">
        <v>31</v>
      </c>
      <c r="C7">
        <v>1697</v>
      </c>
      <c r="D7">
        <v>414</v>
      </c>
      <c r="E7">
        <v>316555</v>
      </c>
      <c r="F7">
        <v>2.37</v>
      </c>
      <c r="G7">
        <v>7924</v>
      </c>
      <c r="H7">
        <f>Engagement_Summary[[#This Row],[New_Followers]]-Engagement_Summary[[#This Row],[Unfollows]]</f>
        <v>1283</v>
      </c>
      <c r="I7" s="5">
        <f>Engagement_Summary[[#This Row],[Follower Growth]]/(Engagement_Summary[[#This Row],[Total_Followers]]-Engagement_Summary[[#This Row],[Follower Growth]])</f>
        <v>4.06950189043112E-3</v>
      </c>
    </row>
    <row r="8" spans="1:9" x14ac:dyDescent="0.35">
      <c r="A8" s="1">
        <v>45453</v>
      </c>
      <c r="B8" t="s">
        <v>32</v>
      </c>
      <c r="C8">
        <v>436</v>
      </c>
      <c r="D8">
        <v>250</v>
      </c>
      <c r="E8">
        <v>254347</v>
      </c>
      <c r="F8">
        <v>4.01</v>
      </c>
      <c r="G8">
        <v>8912</v>
      </c>
      <c r="H8">
        <f>Engagement_Summary[[#This Row],[New_Followers]]-Engagement_Summary[[#This Row],[Unfollows]]</f>
        <v>186</v>
      </c>
      <c r="I8" s="5">
        <f>Engagement_Summary[[#This Row],[Follower Growth]]/(Engagement_Summary[[#This Row],[Total_Followers]]-Engagement_Summary[[#This Row],[Follower Growth]])</f>
        <v>7.3181959466637287E-4</v>
      </c>
    </row>
    <row r="9" spans="1:9" x14ac:dyDescent="0.35">
      <c r="A9" s="1">
        <v>45453</v>
      </c>
      <c r="B9" t="s">
        <v>33</v>
      </c>
      <c r="C9">
        <v>1197</v>
      </c>
      <c r="D9">
        <v>203</v>
      </c>
      <c r="E9">
        <v>413878</v>
      </c>
      <c r="F9">
        <v>3.16</v>
      </c>
      <c r="G9">
        <v>21205</v>
      </c>
      <c r="H9">
        <f>Engagement_Summary[[#This Row],[New_Followers]]-Engagement_Summary[[#This Row],[Unfollows]]</f>
        <v>994</v>
      </c>
      <c r="I9" s="5">
        <f>Engagement_Summary[[#This Row],[Follower Growth]]/(Engagement_Summary[[#This Row],[Total_Followers]]-Engagement_Summary[[#This Row],[Follower Growth]])</f>
        <v>2.4074558471628834E-3</v>
      </c>
    </row>
    <row r="10" spans="1:9" x14ac:dyDescent="0.35">
      <c r="A10" s="1">
        <v>45460</v>
      </c>
      <c r="B10" t="s">
        <v>30</v>
      </c>
      <c r="C10">
        <v>1048</v>
      </c>
      <c r="D10">
        <v>155</v>
      </c>
      <c r="E10">
        <v>456946</v>
      </c>
      <c r="F10">
        <v>2.46</v>
      </c>
      <c r="G10">
        <v>11329</v>
      </c>
      <c r="H10">
        <f>Engagement_Summary[[#This Row],[New_Followers]]-Engagement_Summary[[#This Row],[Unfollows]]</f>
        <v>893</v>
      </c>
      <c r="I10" s="5">
        <f>Engagement_Summary[[#This Row],[Follower Growth]]/(Engagement_Summary[[#This Row],[Total_Followers]]-Engagement_Summary[[#This Row],[Follower Growth]])</f>
        <v>1.9581057464812205E-3</v>
      </c>
    </row>
    <row r="11" spans="1:9" x14ac:dyDescent="0.35">
      <c r="A11" s="1">
        <v>45460</v>
      </c>
      <c r="B11" t="s">
        <v>31</v>
      </c>
      <c r="C11">
        <v>1753</v>
      </c>
      <c r="D11">
        <v>371</v>
      </c>
      <c r="E11">
        <v>169496</v>
      </c>
      <c r="F11">
        <v>8.11</v>
      </c>
      <c r="G11">
        <v>46670</v>
      </c>
      <c r="H11">
        <f>Engagement_Summary[[#This Row],[New_Followers]]-Engagement_Summary[[#This Row],[Unfollows]]</f>
        <v>1382</v>
      </c>
      <c r="I11" s="5">
        <f>Engagement_Summary[[#This Row],[Follower Growth]]/(Engagement_Summary[[#This Row],[Total_Followers]]-Engagement_Summary[[#This Row],[Follower Growth]])</f>
        <v>8.2206122036237311E-3</v>
      </c>
    </row>
    <row r="12" spans="1:9" x14ac:dyDescent="0.35">
      <c r="A12" s="1">
        <v>45460</v>
      </c>
      <c r="B12" t="s">
        <v>32</v>
      </c>
      <c r="C12">
        <v>1335</v>
      </c>
      <c r="D12">
        <v>40</v>
      </c>
      <c r="E12">
        <v>122732</v>
      </c>
      <c r="F12">
        <v>8.19</v>
      </c>
      <c r="G12">
        <v>22482</v>
      </c>
      <c r="H12">
        <f>Engagement_Summary[[#This Row],[New_Followers]]-Engagement_Summary[[#This Row],[Unfollows]]</f>
        <v>1295</v>
      </c>
      <c r="I12" s="5">
        <f>Engagement_Summary[[#This Row],[Follower Growth]]/(Engagement_Summary[[#This Row],[Total_Followers]]-Engagement_Summary[[#This Row],[Follower Growth]])</f>
        <v>1.0663965677676491E-2</v>
      </c>
    </row>
    <row r="13" spans="1:9" x14ac:dyDescent="0.35">
      <c r="A13" s="1">
        <v>45460</v>
      </c>
      <c r="B13" t="s">
        <v>33</v>
      </c>
      <c r="C13">
        <v>403</v>
      </c>
      <c r="D13">
        <v>66</v>
      </c>
      <c r="E13">
        <v>382851</v>
      </c>
      <c r="F13">
        <v>3.49</v>
      </c>
      <c r="G13">
        <v>24313</v>
      </c>
      <c r="H13">
        <f>Engagement_Summary[[#This Row],[New_Followers]]-Engagement_Summary[[#This Row],[Unfollows]]</f>
        <v>337</v>
      </c>
      <c r="I13" s="5">
        <f>Engagement_Summary[[#This Row],[Follower Growth]]/(Engagement_Summary[[#This Row],[Total_Followers]]-Engagement_Summary[[#This Row],[Follower Growth]])</f>
        <v>8.810135053880381E-4</v>
      </c>
    </row>
    <row r="14" spans="1:9" x14ac:dyDescent="0.35">
      <c r="A14" s="1">
        <v>45467</v>
      </c>
      <c r="B14" t="s">
        <v>30</v>
      </c>
      <c r="C14">
        <v>911</v>
      </c>
      <c r="D14">
        <v>282</v>
      </c>
      <c r="E14">
        <v>35664</v>
      </c>
      <c r="F14">
        <v>6.92</v>
      </c>
      <c r="G14">
        <v>18050</v>
      </c>
      <c r="H14">
        <f>Engagement_Summary[[#This Row],[New_Followers]]-Engagement_Summary[[#This Row],[Unfollows]]</f>
        <v>629</v>
      </c>
      <c r="I14" s="5">
        <f>Engagement_Summary[[#This Row],[Follower Growth]]/(Engagement_Summary[[#This Row],[Total_Followers]]-Engagement_Summary[[#This Row],[Follower Growth]])</f>
        <v>1.7953475096332241E-2</v>
      </c>
    </row>
    <row r="15" spans="1:9" x14ac:dyDescent="0.35">
      <c r="A15" s="1">
        <v>45467</v>
      </c>
      <c r="B15" t="s">
        <v>31</v>
      </c>
      <c r="C15">
        <v>1779</v>
      </c>
      <c r="D15">
        <v>109</v>
      </c>
      <c r="E15">
        <v>26295</v>
      </c>
      <c r="F15">
        <v>9.1199999999999992</v>
      </c>
      <c r="G15">
        <v>30635</v>
      </c>
      <c r="H15">
        <f>Engagement_Summary[[#This Row],[New_Followers]]-Engagement_Summary[[#This Row],[Unfollows]]</f>
        <v>1670</v>
      </c>
      <c r="I15" s="5">
        <f>Engagement_Summary[[#This Row],[Follower Growth]]/(Engagement_Summary[[#This Row],[Total_Followers]]-Engagement_Summary[[#This Row],[Follower Growth]])</f>
        <v>6.7817258883248729E-2</v>
      </c>
    </row>
    <row r="16" spans="1:9" x14ac:dyDescent="0.35">
      <c r="A16" s="1">
        <v>45467</v>
      </c>
      <c r="B16" t="s">
        <v>32</v>
      </c>
      <c r="C16">
        <v>1238</v>
      </c>
      <c r="D16">
        <v>403</v>
      </c>
      <c r="E16">
        <v>298421</v>
      </c>
      <c r="F16">
        <v>3.5</v>
      </c>
      <c r="G16">
        <v>31280</v>
      </c>
      <c r="H16">
        <f>Engagement_Summary[[#This Row],[New_Followers]]-Engagement_Summary[[#This Row],[Unfollows]]</f>
        <v>835</v>
      </c>
      <c r="I16" s="5">
        <f>Engagement_Summary[[#This Row],[Follower Growth]]/(Engagement_Summary[[#This Row],[Total_Followers]]-Engagement_Summary[[#This Row],[Follower Growth]])</f>
        <v>2.8059115684205575E-3</v>
      </c>
    </row>
    <row r="17" spans="1:9" x14ac:dyDescent="0.35">
      <c r="A17" s="1">
        <v>45467</v>
      </c>
      <c r="B17" t="s">
        <v>33</v>
      </c>
      <c r="C17">
        <v>308</v>
      </c>
      <c r="D17">
        <v>431</v>
      </c>
      <c r="E17">
        <v>426184</v>
      </c>
      <c r="F17">
        <v>2.62</v>
      </c>
      <c r="G17">
        <v>1783</v>
      </c>
      <c r="H17">
        <f>Engagement_Summary[[#This Row],[New_Followers]]-Engagement_Summary[[#This Row],[Unfollows]]</f>
        <v>-123</v>
      </c>
      <c r="I17" s="5">
        <f>Engagement_Summary[[#This Row],[Follower Growth]]/(Engagement_Summary[[#This Row],[Total_Followers]]-Engagement_Summary[[#This Row],[Follower Growth]])</f>
        <v>-2.8852446710938363E-4</v>
      </c>
    </row>
    <row r="18" spans="1:9" x14ac:dyDescent="0.35">
      <c r="A18" s="1">
        <v>45474</v>
      </c>
      <c r="B18" t="s">
        <v>30</v>
      </c>
      <c r="C18">
        <v>226</v>
      </c>
      <c r="D18">
        <v>445</v>
      </c>
      <c r="E18">
        <v>419447</v>
      </c>
      <c r="F18">
        <v>9.36</v>
      </c>
      <c r="G18">
        <v>9566</v>
      </c>
      <c r="H18">
        <f>Engagement_Summary[[#This Row],[New_Followers]]-Engagement_Summary[[#This Row],[Unfollows]]</f>
        <v>-219</v>
      </c>
      <c r="I18" s="5">
        <f>Engagement_Summary[[#This Row],[Follower Growth]]/(Engagement_Summary[[#This Row],[Total_Followers]]-Engagement_Summary[[#This Row],[Follower Growth]])</f>
        <v>-5.2184356130827853E-4</v>
      </c>
    </row>
    <row r="19" spans="1:9" x14ac:dyDescent="0.35">
      <c r="A19" s="1">
        <v>45474</v>
      </c>
      <c r="B19" t="s">
        <v>31</v>
      </c>
      <c r="C19">
        <v>505</v>
      </c>
      <c r="D19">
        <v>441</v>
      </c>
      <c r="E19">
        <v>220020</v>
      </c>
      <c r="F19">
        <v>4.4800000000000004</v>
      </c>
      <c r="G19">
        <v>42307</v>
      </c>
      <c r="H19">
        <f>Engagement_Summary[[#This Row],[New_Followers]]-Engagement_Summary[[#This Row],[Unfollows]]</f>
        <v>64</v>
      </c>
      <c r="I19" s="5">
        <f>Engagement_Summary[[#This Row],[Follower Growth]]/(Engagement_Summary[[#This Row],[Total_Followers]]-Engagement_Summary[[#This Row],[Follower Growth]])</f>
        <v>2.9096728436596409E-4</v>
      </c>
    </row>
    <row r="20" spans="1:9" x14ac:dyDescent="0.35">
      <c r="A20" s="1">
        <v>45474</v>
      </c>
      <c r="B20" t="s">
        <v>32</v>
      </c>
      <c r="C20">
        <v>1420</v>
      </c>
      <c r="D20">
        <v>63</v>
      </c>
      <c r="E20">
        <v>315305</v>
      </c>
      <c r="F20">
        <v>6.19</v>
      </c>
      <c r="G20">
        <v>5914</v>
      </c>
      <c r="H20">
        <f>Engagement_Summary[[#This Row],[New_Followers]]-Engagement_Summary[[#This Row],[Unfollows]]</f>
        <v>1357</v>
      </c>
      <c r="I20" s="5">
        <f>Engagement_Summary[[#This Row],[Follower Growth]]/(Engagement_Summary[[#This Row],[Total_Followers]]-Engagement_Summary[[#This Row],[Follower Growth]])</f>
        <v>4.3223718577598842E-3</v>
      </c>
    </row>
    <row r="21" spans="1:9" x14ac:dyDescent="0.35">
      <c r="A21" s="1">
        <v>45474</v>
      </c>
      <c r="B21" t="s">
        <v>33</v>
      </c>
      <c r="C21">
        <v>144</v>
      </c>
      <c r="D21">
        <v>53</v>
      </c>
      <c r="E21">
        <v>113678</v>
      </c>
      <c r="F21">
        <v>8.7200000000000006</v>
      </c>
      <c r="G21">
        <v>30060</v>
      </c>
      <c r="H21">
        <f>Engagement_Summary[[#This Row],[New_Followers]]-Engagement_Summary[[#This Row],[Unfollows]]</f>
        <v>91</v>
      </c>
      <c r="I21" s="5">
        <f>Engagement_Summary[[#This Row],[Follower Growth]]/(Engagement_Summary[[#This Row],[Total_Followers]]-Engagement_Summary[[#This Row],[Follower Growth]])</f>
        <v>8.0114801869932302E-4</v>
      </c>
    </row>
    <row r="22" spans="1:9" x14ac:dyDescent="0.35">
      <c r="A22" s="1">
        <v>45481</v>
      </c>
      <c r="B22" t="s">
        <v>30</v>
      </c>
      <c r="C22">
        <v>1757</v>
      </c>
      <c r="D22">
        <v>85</v>
      </c>
      <c r="E22">
        <v>58223</v>
      </c>
      <c r="F22">
        <v>8.74</v>
      </c>
      <c r="G22">
        <v>22728</v>
      </c>
      <c r="H22">
        <f>Engagement_Summary[[#This Row],[New_Followers]]-Engagement_Summary[[#This Row],[Unfollows]]</f>
        <v>1672</v>
      </c>
      <c r="I22" s="5">
        <f>Engagement_Summary[[#This Row],[Follower Growth]]/(Engagement_Summary[[#This Row],[Total_Followers]]-Engagement_Summary[[#This Row],[Follower Growth]])</f>
        <v>2.9566232250534917E-2</v>
      </c>
    </row>
    <row r="23" spans="1:9" x14ac:dyDescent="0.35">
      <c r="A23" s="1">
        <v>45481</v>
      </c>
      <c r="B23" t="s">
        <v>31</v>
      </c>
      <c r="C23">
        <v>350</v>
      </c>
      <c r="D23">
        <v>41</v>
      </c>
      <c r="E23">
        <v>251694</v>
      </c>
      <c r="F23">
        <v>1.91</v>
      </c>
      <c r="G23">
        <v>38610</v>
      </c>
      <c r="H23">
        <f>Engagement_Summary[[#This Row],[New_Followers]]-Engagement_Summary[[#This Row],[Unfollows]]</f>
        <v>309</v>
      </c>
      <c r="I23" s="5">
        <f>Engagement_Summary[[#This Row],[Follower Growth]]/(Engagement_Summary[[#This Row],[Total_Followers]]-Engagement_Summary[[#This Row],[Follower Growth]])</f>
        <v>1.2291902858165761E-3</v>
      </c>
    </row>
    <row r="24" spans="1:9" x14ac:dyDescent="0.35">
      <c r="A24" s="1">
        <v>45481</v>
      </c>
      <c r="B24" t="s">
        <v>32</v>
      </c>
      <c r="C24">
        <v>987</v>
      </c>
      <c r="D24">
        <v>440</v>
      </c>
      <c r="E24">
        <v>389810</v>
      </c>
      <c r="F24">
        <v>4.66</v>
      </c>
      <c r="G24">
        <v>2932</v>
      </c>
      <c r="H24">
        <f>Engagement_Summary[[#This Row],[New_Followers]]-Engagement_Summary[[#This Row],[Unfollows]]</f>
        <v>547</v>
      </c>
      <c r="I24" s="5">
        <f>Engagement_Summary[[#This Row],[Follower Growth]]/(Engagement_Summary[[#This Row],[Total_Followers]]-Engagement_Summary[[#This Row],[Follower Growth]])</f>
        <v>1.4052196073091972E-3</v>
      </c>
    </row>
    <row r="25" spans="1:9" x14ac:dyDescent="0.35">
      <c r="A25" s="1">
        <v>45481</v>
      </c>
      <c r="B25" t="s">
        <v>33</v>
      </c>
      <c r="C25">
        <v>883</v>
      </c>
      <c r="D25">
        <v>369</v>
      </c>
      <c r="E25">
        <v>233694</v>
      </c>
      <c r="F25">
        <v>2.88</v>
      </c>
      <c r="G25">
        <v>15071</v>
      </c>
      <c r="H25">
        <f>Engagement_Summary[[#This Row],[New_Followers]]-Engagement_Summary[[#This Row],[Unfollows]]</f>
        <v>514</v>
      </c>
      <c r="I25" s="5">
        <f>Engagement_Summary[[#This Row],[Follower Growth]]/(Engagement_Summary[[#This Row],[Total_Followers]]-Engagement_Summary[[#This Row],[Follower Growth]])</f>
        <v>2.2043056865940474E-3</v>
      </c>
    </row>
    <row r="26" spans="1:9" x14ac:dyDescent="0.35">
      <c r="A26" s="1">
        <v>45488</v>
      </c>
      <c r="B26" t="s">
        <v>30</v>
      </c>
      <c r="C26">
        <v>1960</v>
      </c>
      <c r="D26">
        <v>115</v>
      </c>
      <c r="E26">
        <v>154169</v>
      </c>
      <c r="F26">
        <v>3.74</v>
      </c>
      <c r="G26">
        <v>10740</v>
      </c>
      <c r="H26">
        <f>Engagement_Summary[[#This Row],[New_Followers]]-Engagement_Summary[[#This Row],[Unfollows]]</f>
        <v>1845</v>
      </c>
      <c r="I26" s="5">
        <f>Engagement_Summary[[#This Row],[Follower Growth]]/(Engagement_Summary[[#This Row],[Total_Followers]]-Engagement_Summary[[#This Row],[Follower Growth]])</f>
        <v>1.2112339486883223E-2</v>
      </c>
    </row>
    <row r="27" spans="1:9" x14ac:dyDescent="0.35">
      <c r="A27" s="1">
        <v>45488</v>
      </c>
      <c r="B27" t="s">
        <v>31</v>
      </c>
      <c r="C27">
        <v>170</v>
      </c>
      <c r="D27">
        <v>334</v>
      </c>
      <c r="E27">
        <v>334626</v>
      </c>
      <c r="F27">
        <v>6.44</v>
      </c>
      <c r="G27">
        <v>43420</v>
      </c>
      <c r="H27">
        <f>Engagement_Summary[[#This Row],[New_Followers]]-Engagement_Summary[[#This Row],[Unfollows]]</f>
        <v>-164</v>
      </c>
      <c r="I27" s="5">
        <f>Engagement_Summary[[#This Row],[Follower Growth]]/(Engagement_Summary[[#This Row],[Total_Followers]]-Engagement_Summary[[#This Row],[Follower Growth]])</f>
        <v>-4.8985931479434872E-4</v>
      </c>
    </row>
    <row r="28" spans="1:9" x14ac:dyDescent="0.35">
      <c r="A28" s="1">
        <v>45488</v>
      </c>
      <c r="B28" t="s">
        <v>32</v>
      </c>
      <c r="C28">
        <v>704</v>
      </c>
      <c r="D28">
        <v>275</v>
      </c>
      <c r="E28">
        <v>226002</v>
      </c>
      <c r="F28">
        <v>8.56</v>
      </c>
      <c r="G28">
        <v>32393</v>
      </c>
      <c r="H28">
        <f>Engagement_Summary[[#This Row],[New_Followers]]-Engagement_Summary[[#This Row],[Unfollows]]</f>
        <v>429</v>
      </c>
      <c r="I28" s="5">
        <f>Engagement_Summary[[#This Row],[Follower Growth]]/(Engagement_Summary[[#This Row],[Total_Followers]]-Engagement_Summary[[#This Row],[Follower Growth]])</f>
        <v>1.9018233565187323E-3</v>
      </c>
    </row>
    <row r="29" spans="1:9" x14ac:dyDescent="0.35">
      <c r="A29" s="1">
        <v>45488</v>
      </c>
      <c r="B29" t="s">
        <v>33</v>
      </c>
      <c r="C29">
        <v>224</v>
      </c>
      <c r="D29">
        <v>64</v>
      </c>
      <c r="E29">
        <v>156683</v>
      </c>
      <c r="F29">
        <v>4.5599999999999996</v>
      </c>
      <c r="G29">
        <v>28474</v>
      </c>
      <c r="H29">
        <f>Engagement_Summary[[#This Row],[New_Followers]]-Engagement_Summary[[#This Row],[Unfollows]]</f>
        <v>160</v>
      </c>
      <c r="I29" s="5">
        <f>Engagement_Summary[[#This Row],[Follower Growth]]/(Engagement_Summary[[#This Row],[Total_Followers]]-Engagement_Summary[[#This Row],[Follower Growth]])</f>
        <v>1.0222139877206545E-3</v>
      </c>
    </row>
    <row r="30" spans="1:9" x14ac:dyDescent="0.35">
      <c r="A30" s="1">
        <v>45495</v>
      </c>
      <c r="B30" t="s">
        <v>30</v>
      </c>
      <c r="C30">
        <v>508</v>
      </c>
      <c r="D30">
        <v>349</v>
      </c>
      <c r="E30">
        <v>473812</v>
      </c>
      <c r="F30">
        <v>7.88</v>
      </c>
      <c r="G30">
        <v>17328</v>
      </c>
      <c r="H30">
        <f>Engagement_Summary[[#This Row],[New_Followers]]-Engagement_Summary[[#This Row],[Unfollows]]</f>
        <v>159</v>
      </c>
      <c r="I30" s="5">
        <f>Engagement_Summary[[#This Row],[Follower Growth]]/(Engagement_Summary[[#This Row],[Total_Followers]]-Engagement_Summary[[#This Row],[Follower Growth]])</f>
        <v>3.3568878482771145E-4</v>
      </c>
    </row>
    <row r="31" spans="1:9" x14ac:dyDescent="0.35">
      <c r="A31" s="1">
        <v>45495</v>
      </c>
      <c r="B31" t="s">
        <v>31</v>
      </c>
      <c r="C31">
        <v>1391</v>
      </c>
      <c r="D31">
        <v>430</v>
      </c>
      <c r="E31">
        <v>295032</v>
      </c>
      <c r="F31">
        <v>7.86</v>
      </c>
      <c r="G31">
        <v>26067</v>
      </c>
      <c r="H31">
        <f>Engagement_Summary[[#This Row],[New_Followers]]-Engagement_Summary[[#This Row],[Unfollows]]</f>
        <v>961</v>
      </c>
      <c r="I31" s="5">
        <f>Engagement_Summary[[#This Row],[Follower Growth]]/(Engagement_Summary[[#This Row],[Total_Followers]]-Engagement_Summary[[#This Row],[Follower Growth]])</f>
        <v>3.2679182918410859E-3</v>
      </c>
    </row>
    <row r="32" spans="1:9" x14ac:dyDescent="0.35">
      <c r="A32" s="1">
        <v>45495</v>
      </c>
      <c r="B32" t="s">
        <v>32</v>
      </c>
      <c r="C32">
        <v>1701</v>
      </c>
      <c r="D32">
        <v>385</v>
      </c>
      <c r="E32">
        <v>198278</v>
      </c>
      <c r="F32">
        <v>5.34</v>
      </c>
      <c r="G32">
        <v>32763</v>
      </c>
      <c r="H32">
        <f>Engagement_Summary[[#This Row],[New_Followers]]-Engagement_Summary[[#This Row],[Unfollows]]</f>
        <v>1316</v>
      </c>
      <c r="I32" s="5">
        <f>Engagement_Summary[[#This Row],[Follower Growth]]/(Engagement_Summary[[#This Row],[Total_Followers]]-Engagement_Summary[[#This Row],[Follower Growth]])</f>
        <v>6.6814918613742752E-3</v>
      </c>
    </row>
    <row r="33" spans="1:9" x14ac:dyDescent="0.35">
      <c r="A33" s="1">
        <v>45495</v>
      </c>
      <c r="B33" t="s">
        <v>33</v>
      </c>
      <c r="C33">
        <v>804</v>
      </c>
      <c r="D33">
        <v>487</v>
      </c>
      <c r="E33">
        <v>306564</v>
      </c>
      <c r="F33">
        <v>5.52</v>
      </c>
      <c r="G33">
        <v>26452</v>
      </c>
      <c r="H33">
        <f>Engagement_Summary[[#This Row],[New_Followers]]-Engagement_Summary[[#This Row],[Unfollows]]</f>
        <v>317</v>
      </c>
      <c r="I33" s="5">
        <f>Engagement_Summary[[#This Row],[Follower Growth]]/(Engagement_Summary[[#This Row],[Total_Followers]]-Engagement_Summary[[#This Row],[Follower Growth]])</f>
        <v>1.0351121806907496E-3</v>
      </c>
    </row>
    <row r="34" spans="1:9" x14ac:dyDescent="0.35">
      <c r="A34" s="1">
        <v>45502</v>
      </c>
      <c r="B34" t="s">
        <v>30</v>
      </c>
      <c r="C34">
        <v>653</v>
      </c>
      <c r="D34">
        <v>112</v>
      </c>
      <c r="E34">
        <v>23664</v>
      </c>
      <c r="F34">
        <v>4.05</v>
      </c>
      <c r="G34">
        <v>15353</v>
      </c>
      <c r="H34">
        <f>Engagement_Summary[[#This Row],[New_Followers]]-Engagement_Summary[[#This Row],[Unfollows]]</f>
        <v>541</v>
      </c>
      <c r="I34" s="5">
        <f>Engagement_Summary[[#This Row],[Follower Growth]]/(Engagement_Summary[[#This Row],[Total_Followers]]-Engagement_Summary[[#This Row],[Follower Growth]])</f>
        <v>2.3396618085888509E-2</v>
      </c>
    </row>
    <row r="35" spans="1:9" x14ac:dyDescent="0.35">
      <c r="A35" s="1">
        <v>45502</v>
      </c>
      <c r="B35" t="s">
        <v>31</v>
      </c>
      <c r="C35">
        <v>160</v>
      </c>
      <c r="D35">
        <v>478</v>
      </c>
      <c r="E35">
        <v>435034</v>
      </c>
      <c r="F35">
        <v>7.73</v>
      </c>
      <c r="G35">
        <v>4839</v>
      </c>
      <c r="H35">
        <f>Engagement_Summary[[#This Row],[New_Followers]]-Engagement_Summary[[#This Row],[Unfollows]]</f>
        <v>-318</v>
      </c>
      <c r="I35" s="5">
        <f>Engagement_Summary[[#This Row],[Follower Growth]]/(Engagement_Summary[[#This Row],[Total_Followers]]-Engagement_Summary[[#This Row],[Follower Growth]])</f>
        <v>-7.3044341130855037E-4</v>
      </c>
    </row>
    <row r="36" spans="1:9" x14ac:dyDescent="0.35">
      <c r="A36" s="1">
        <v>45502</v>
      </c>
      <c r="B36" t="s">
        <v>32</v>
      </c>
      <c r="C36">
        <v>1756</v>
      </c>
      <c r="D36">
        <v>261</v>
      </c>
      <c r="E36">
        <v>287574</v>
      </c>
      <c r="F36">
        <v>4.3600000000000003</v>
      </c>
      <c r="G36">
        <v>39272</v>
      </c>
      <c r="H36">
        <f>Engagement_Summary[[#This Row],[New_Followers]]-Engagement_Summary[[#This Row],[Unfollows]]</f>
        <v>1495</v>
      </c>
      <c r="I36" s="5">
        <f>Engagement_Summary[[#This Row],[Follower Growth]]/(Engagement_Summary[[#This Row],[Total_Followers]]-Engagement_Summary[[#This Row],[Follower Growth]])</f>
        <v>5.2258292289891952E-3</v>
      </c>
    </row>
    <row r="37" spans="1:9" x14ac:dyDescent="0.35">
      <c r="A37" s="1">
        <v>45502</v>
      </c>
      <c r="B37" t="s">
        <v>33</v>
      </c>
      <c r="C37">
        <v>576</v>
      </c>
      <c r="D37">
        <v>101</v>
      </c>
      <c r="E37">
        <v>62499</v>
      </c>
      <c r="F37">
        <v>3.48</v>
      </c>
      <c r="G37">
        <v>16804</v>
      </c>
      <c r="H37">
        <f>Engagement_Summary[[#This Row],[New_Followers]]-Engagement_Summary[[#This Row],[Unfollows]]</f>
        <v>475</v>
      </c>
      <c r="I37" s="5">
        <f>Engagement_Summary[[#This Row],[Follower Growth]]/(Engagement_Summary[[#This Row],[Total_Followers]]-Engagement_Summary[[#This Row],[Follower Growth]])</f>
        <v>7.6583258093641171E-3</v>
      </c>
    </row>
    <row r="38" spans="1:9" x14ac:dyDescent="0.35">
      <c r="A38" s="1">
        <v>45509</v>
      </c>
      <c r="B38" t="s">
        <v>30</v>
      </c>
      <c r="C38">
        <v>645</v>
      </c>
      <c r="D38">
        <v>293</v>
      </c>
      <c r="E38">
        <v>437968</v>
      </c>
      <c r="F38">
        <v>7.83</v>
      </c>
      <c r="G38">
        <v>49303</v>
      </c>
      <c r="H38">
        <f>Engagement_Summary[[#This Row],[New_Followers]]-Engagement_Summary[[#This Row],[Unfollows]]</f>
        <v>352</v>
      </c>
      <c r="I38" s="5">
        <f>Engagement_Summary[[#This Row],[Follower Growth]]/(Engagement_Summary[[#This Row],[Total_Followers]]-Engagement_Summary[[#This Row],[Follower Growth]])</f>
        <v>8.0435815875105118E-4</v>
      </c>
    </row>
    <row r="39" spans="1:9" x14ac:dyDescent="0.35">
      <c r="A39" s="1">
        <v>45509</v>
      </c>
      <c r="B39" t="s">
        <v>31</v>
      </c>
      <c r="C39">
        <v>214</v>
      </c>
      <c r="D39">
        <v>411</v>
      </c>
      <c r="E39">
        <v>125034</v>
      </c>
      <c r="F39">
        <v>6.11</v>
      </c>
      <c r="G39">
        <v>26455</v>
      </c>
      <c r="H39">
        <f>Engagement_Summary[[#This Row],[New_Followers]]-Engagement_Summary[[#This Row],[Unfollows]]</f>
        <v>-197</v>
      </c>
      <c r="I39" s="5">
        <f>Engagement_Summary[[#This Row],[Follower Growth]]/(Engagement_Summary[[#This Row],[Total_Followers]]-Engagement_Summary[[#This Row],[Follower Growth]])</f>
        <v>-1.573092924275938E-3</v>
      </c>
    </row>
    <row r="40" spans="1:9" x14ac:dyDescent="0.35">
      <c r="A40" s="1">
        <v>45509</v>
      </c>
      <c r="B40" t="s">
        <v>32</v>
      </c>
      <c r="C40">
        <v>826</v>
      </c>
      <c r="D40">
        <v>498</v>
      </c>
      <c r="E40">
        <v>449994</v>
      </c>
      <c r="F40">
        <v>9.43</v>
      </c>
      <c r="G40">
        <v>12384</v>
      </c>
      <c r="H40">
        <f>Engagement_Summary[[#This Row],[New_Followers]]-Engagement_Summary[[#This Row],[Unfollows]]</f>
        <v>328</v>
      </c>
      <c r="I40" s="5">
        <f>Engagement_Summary[[#This Row],[Follower Growth]]/(Engagement_Summary[[#This Row],[Total_Followers]]-Engagement_Summary[[#This Row],[Follower Growth]])</f>
        <v>7.294302882583962E-4</v>
      </c>
    </row>
    <row r="41" spans="1:9" x14ac:dyDescent="0.35">
      <c r="A41" s="1">
        <v>45509</v>
      </c>
      <c r="B41" t="s">
        <v>33</v>
      </c>
      <c r="C41">
        <v>460</v>
      </c>
      <c r="D41">
        <v>141</v>
      </c>
      <c r="E41">
        <v>320650</v>
      </c>
      <c r="F41">
        <v>4.04</v>
      </c>
      <c r="G41">
        <v>49372</v>
      </c>
      <c r="H41">
        <f>Engagement_Summary[[#This Row],[New_Followers]]-Engagement_Summary[[#This Row],[Unfollows]]</f>
        <v>319</v>
      </c>
      <c r="I41" s="5">
        <f>Engagement_Summary[[#This Row],[Follower Growth]]/(Engagement_Summary[[#This Row],[Total_Followers]]-Engagement_Summary[[#This Row],[Follower Growth]])</f>
        <v>9.9584492290786717E-4</v>
      </c>
    </row>
    <row r="42" spans="1:9" x14ac:dyDescent="0.35">
      <c r="A42" s="1">
        <v>45516</v>
      </c>
      <c r="B42" t="s">
        <v>30</v>
      </c>
      <c r="C42">
        <v>1528</v>
      </c>
      <c r="D42">
        <v>203</v>
      </c>
      <c r="E42">
        <v>489188</v>
      </c>
      <c r="F42">
        <v>6.23</v>
      </c>
      <c r="G42">
        <v>47101</v>
      </c>
      <c r="H42">
        <f>Engagement_Summary[[#This Row],[New_Followers]]-Engagement_Summary[[#This Row],[Unfollows]]</f>
        <v>1325</v>
      </c>
      <c r="I42" s="5">
        <f>Engagement_Summary[[#This Row],[Follower Growth]]/(Engagement_Summary[[#This Row],[Total_Followers]]-Engagement_Summary[[#This Row],[Follower Growth]])</f>
        <v>2.7159263973697534E-3</v>
      </c>
    </row>
    <row r="43" spans="1:9" x14ac:dyDescent="0.35">
      <c r="A43" s="1">
        <v>45516</v>
      </c>
      <c r="B43" t="s">
        <v>31</v>
      </c>
      <c r="C43">
        <v>1534</v>
      </c>
      <c r="D43">
        <v>200</v>
      </c>
      <c r="E43">
        <v>307612</v>
      </c>
      <c r="F43">
        <v>6.01</v>
      </c>
      <c r="G43">
        <v>37903</v>
      </c>
      <c r="H43">
        <f>Engagement_Summary[[#This Row],[New_Followers]]-Engagement_Summary[[#This Row],[Unfollows]]</f>
        <v>1334</v>
      </c>
      <c r="I43" s="5">
        <f>Engagement_Summary[[#This Row],[Follower Growth]]/(Engagement_Summary[[#This Row],[Total_Followers]]-Engagement_Summary[[#This Row],[Follower Growth]])</f>
        <v>4.3555201483619459E-3</v>
      </c>
    </row>
    <row r="44" spans="1:9" x14ac:dyDescent="0.35">
      <c r="A44" s="1">
        <v>45516</v>
      </c>
      <c r="B44" t="s">
        <v>32</v>
      </c>
      <c r="C44">
        <v>485</v>
      </c>
      <c r="D44">
        <v>448</v>
      </c>
      <c r="E44">
        <v>434883</v>
      </c>
      <c r="F44">
        <v>8.5500000000000007</v>
      </c>
      <c r="G44">
        <v>33258</v>
      </c>
      <c r="H44">
        <f>Engagement_Summary[[#This Row],[New_Followers]]-Engagement_Summary[[#This Row],[Unfollows]]</f>
        <v>37</v>
      </c>
      <c r="I44" s="5">
        <f>Engagement_Summary[[#This Row],[Follower Growth]]/(Engagement_Summary[[#This Row],[Total_Followers]]-Engagement_Summary[[#This Row],[Follower Growth]])</f>
        <v>8.5087594228761446E-5</v>
      </c>
    </row>
    <row r="45" spans="1:9" x14ac:dyDescent="0.35">
      <c r="A45" s="1">
        <v>45516</v>
      </c>
      <c r="B45" t="s">
        <v>33</v>
      </c>
      <c r="C45">
        <v>1210</v>
      </c>
      <c r="D45">
        <v>178</v>
      </c>
      <c r="E45">
        <v>102042</v>
      </c>
      <c r="F45">
        <v>5.42</v>
      </c>
      <c r="G45">
        <v>6915</v>
      </c>
      <c r="H45">
        <f>Engagement_Summary[[#This Row],[New_Followers]]-Engagement_Summary[[#This Row],[Unfollows]]</f>
        <v>1032</v>
      </c>
      <c r="I45" s="5">
        <f>Engagement_Summary[[#This Row],[Follower Growth]]/(Engagement_Summary[[#This Row],[Total_Followers]]-Engagement_Summary[[#This Row],[Follower Growth]])</f>
        <v>1.0216810216810217E-2</v>
      </c>
    </row>
    <row r="46" spans="1:9" x14ac:dyDescent="0.35">
      <c r="A46" s="1">
        <v>45523</v>
      </c>
      <c r="B46" t="s">
        <v>30</v>
      </c>
      <c r="C46">
        <v>215</v>
      </c>
      <c r="D46">
        <v>139</v>
      </c>
      <c r="E46">
        <v>325444</v>
      </c>
      <c r="F46">
        <v>3.25</v>
      </c>
      <c r="G46">
        <v>35501</v>
      </c>
      <c r="H46">
        <f>Engagement_Summary[[#This Row],[New_Followers]]-Engagement_Summary[[#This Row],[Unfollows]]</f>
        <v>76</v>
      </c>
      <c r="I46" s="5">
        <f>Engagement_Summary[[#This Row],[Follower Growth]]/(Engagement_Summary[[#This Row],[Total_Followers]]-Engagement_Summary[[#This Row],[Follower Growth]])</f>
        <v>2.3358166752723071E-4</v>
      </c>
    </row>
    <row r="47" spans="1:9" x14ac:dyDescent="0.35">
      <c r="A47" s="1">
        <v>45523</v>
      </c>
      <c r="B47" t="s">
        <v>31</v>
      </c>
      <c r="C47">
        <v>1078</v>
      </c>
      <c r="D47">
        <v>20</v>
      </c>
      <c r="E47">
        <v>183924</v>
      </c>
      <c r="F47">
        <v>8.84</v>
      </c>
      <c r="G47">
        <v>14203</v>
      </c>
      <c r="H47">
        <f>Engagement_Summary[[#This Row],[New_Followers]]-Engagement_Summary[[#This Row],[Unfollows]]</f>
        <v>1058</v>
      </c>
      <c r="I47" s="5">
        <f>Engagement_Summary[[#This Row],[Follower Growth]]/(Engagement_Summary[[#This Row],[Total_Followers]]-Engagement_Summary[[#This Row],[Follower Growth]])</f>
        <v>5.7856572572266033E-3</v>
      </c>
    </row>
    <row r="48" spans="1:9" x14ac:dyDescent="0.35">
      <c r="A48" s="1">
        <v>45523</v>
      </c>
      <c r="B48" t="s">
        <v>32</v>
      </c>
      <c r="C48">
        <v>1751</v>
      </c>
      <c r="D48">
        <v>86</v>
      </c>
      <c r="E48">
        <v>188655</v>
      </c>
      <c r="F48">
        <v>7.24</v>
      </c>
      <c r="G48">
        <v>22206</v>
      </c>
      <c r="H48">
        <f>Engagement_Summary[[#This Row],[New_Followers]]-Engagement_Summary[[#This Row],[Unfollows]]</f>
        <v>1665</v>
      </c>
      <c r="I48" s="5">
        <f>Engagement_Summary[[#This Row],[Follower Growth]]/(Engagement_Summary[[#This Row],[Total_Followers]]-Engagement_Summary[[#This Row],[Follower Growth]])</f>
        <v>8.9042194769773791E-3</v>
      </c>
    </row>
    <row r="49" spans="1:9" x14ac:dyDescent="0.35">
      <c r="A49" s="1">
        <v>45523</v>
      </c>
      <c r="B49" t="s">
        <v>33</v>
      </c>
      <c r="C49">
        <v>221</v>
      </c>
      <c r="D49">
        <v>31</v>
      </c>
      <c r="E49">
        <v>87443</v>
      </c>
      <c r="F49">
        <v>6.19</v>
      </c>
      <c r="G49">
        <v>10283</v>
      </c>
      <c r="H49">
        <f>Engagement_Summary[[#This Row],[New_Followers]]-Engagement_Summary[[#This Row],[Unfollows]]</f>
        <v>190</v>
      </c>
      <c r="I49" s="5">
        <f>Engagement_Summary[[#This Row],[Follower Growth]]/(Engagement_Summary[[#This Row],[Total_Followers]]-Engagement_Summary[[#This Row],[Follower Growth]])</f>
        <v>2.1775755561413363E-3</v>
      </c>
    </row>
    <row r="50" spans="1:9" x14ac:dyDescent="0.35">
      <c r="A50" s="1">
        <v>45530</v>
      </c>
      <c r="B50" t="s">
        <v>30</v>
      </c>
      <c r="C50">
        <v>1685</v>
      </c>
      <c r="D50">
        <v>76</v>
      </c>
      <c r="E50">
        <v>453799</v>
      </c>
      <c r="F50">
        <v>5.71</v>
      </c>
      <c r="G50">
        <v>24913</v>
      </c>
      <c r="H50">
        <f>Engagement_Summary[[#This Row],[New_Followers]]-Engagement_Summary[[#This Row],[Unfollows]]</f>
        <v>1609</v>
      </c>
      <c r="I50" s="5">
        <f>Engagement_Summary[[#This Row],[Follower Growth]]/(Engagement_Summary[[#This Row],[Total_Followers]]-Engagement_Summary[[#This Row],[Follower Growth]])</f>
        <v>3.5582387934275416E-3</v>
      </c>
    </row>
    <row r="51" spans="1:9" x14ac:dyDescent="0.35">
      <c r="A51" s="1">
        <v>45530</v>
      </c>
      <c r="B51" t="s">
        <v>31</v>
      </c>
      <c r="C51">
        <v>248</v>
      </c>
      <c r="D51">
        <v>211</v>
      </c>
      <c r="E51">
        <v>379380</v>
      </c>
      <c r="F51">
        <v>9.0399999999999991</v>
      </c>
      <c r="G51">
        <v>26925</v>
      </c>
      <c r="H51">
        <f>Engagement_Summary[[#This Row],[New_Followers]]-Engagement_Summary[[#This Row],[Unfollows]]</f>
        <v>37</v>
      </c>
      <c r="I51" s="5">
        <f>Engagement_Summary[[#This Row],[Follower Growth]]/(Engagement_Summary[[#This Row],[Total_Followers]]-Engagement_Summary[[#This Row],[Follower Growth]])</f>
        <v>9.7537057491505044E-5</v>
      </c>
    </row>
    <row r="52" spans="1:9" x14ac:dyDescent="0.35">
      <c r="A52" s="1">
        <v>45530</v>
      </c>
      <c r="B52" t="s">
        <v>32</v>
      </c>
      <c r="C52">
        <v>1300</v>
      </c>
      <c r="D52">
        <v>71</v>
      </c>
      <c r="E52">
        <v>186454</v>
      </c>
      <c r="F52">
        <v>3.91</v>
      </c>
      <c r="G52">
        <v>9942</v>
      </c>
      <c r="H52">
        <f>Engagement_Summary[[#This Row],[New_Followers]]-Engagement_Summary[[#This Row],[Unfollows]]</f>
        <v>1229</v>
      </c>
      <c r="I52" s="5">
        <f>Engagement_Summary[[#This Row],[Follower Growth]]/(Engagement_Summary[[#This Row],[Total_Followers]]-Engagement_Summary[[#This Row],[Follower Growth]])</f>
        <v>6.6351734377108921E-3</v>
      </c>
    </row>
    <row r="53" spans="1:9" x14ac:dyDescent="0.35">
      <c r="A53" s="1">
        <v>45530</v>
      </c>
      <c r="B53" t="s">
        <v>33</v>
      </c>
      <c r="C53">
        <v>422</v>
      </c>
      <c r="D53">
        <v>394</v>
      </c>
      <c r="E53">
        <v>239044</v>
      </c>
      <c r="F53">
        <v>7.83</v>
      </c>
      <c r="G53">
        <v>32929</v>
      </c>
      <c r="H53">
        <f>Engagement_Summary[[#This Row],[New_Followers]]-Engagement_Summary[[#This Row],[Unfollows]]</f>
        <v>28</v>
      </c>
      <c r="I53" s="5">
        <f>Engagement_Summary[[#This Row],[Follower Growth]]/(Engagement_Summary[[#This Row],[Total_Followers]]-Engagement_Summary[[#This Row],[Follower Growth]])</f>
        <v>1.1714696924055294E-4</v>
      </c>
    </row>
    <row r="54" spans="1:9" x14ac:dyDescent="0.35">
      <c r="A54" s="1">
        <v>45537</v>
      </c>
      <c r="B54" t="s">
        <v>30</v>
      </c>
      <c r="C54">
        <v>1429</v>
      </c>
      <c r="D54">
        <v>182</v>
      </c>
      <c r="E54">
        <v>101332</v>
      </c>
      <c r="F54">
        <v>7.16</v>
      </c>
      <c r="G54">
        <v>37829</v>
      </c>
      <c r="H54">
        <f>Engagement_Summary[[#This Row],[New_Followers]]-Engagement_Summary[[#This Row],[Unfollows]]</f>
        <v>1247</v>
      </c>
      <c r="I54" s="5">
        <f>Engagement_Summary[[#This Row],[Follower Growth]]/(Engagement_Summary[[#This Row],[Total_Followers]]-Engagement_Summary[[#This Row],[Follower Growth]])</f>
        <v>1.2459409501923365E-2</v>
      </c>
    </row>
    <row r="55" spans="1:9" x14ac:dyDescent="0.35">
      <c r="A55" s="1">
        <v>45537</v>
      </c>
      <c r="B55" t="s">
        <v>31</v>
      </c>
      <c r="C55">
        <v>1520</v>
      </c>
      <c r="D55">
        <v>475</v>
      </c>
      <c r="E55">
        <v>496982</v>
      </c>
      <c r="F55">
        <v>6.41</v>
      </c>
      <c r="G55">
        <v>24384</v>
      </c>
      <c r="H55">
        <f>Engagement_Summary[[#This Row],[New_Followers]]-Engagement_Summary[[#This Row],[Unfollows]]</f>
        <v>1045</v>
      </c>
      <c r="I55" s="5">
        <f>Engagement_Summary[[#This Row],[Follower Growth]]/(Engagement_Summary[[#This Row],[Total_Followers]]-Engagement_Summary[[#This Row],[Follower Growth]])</f>
        <v>2.1071224772501347E-3</v>
      </c>
    </row>
    <row r="56" spans="1:9" x14ac:dyDescent="0.35">
      <c r="A56" s="1">
        <v>45537</v>
      </c>
      <c r="B56" t="s">
        <v>32</v>
      </c>
      <c r="C56">
        <v>557</v>
      </c>
      <c r="D56">
        <v>360</v>
      </c>
      <c r="E56">
        <v>318779</v>
      </c>
      <c r="F56">
        <v>8.02</v>
      </c>
      <c r="G56">
        <v>25797</v>
      </c>
      <c r="H56">
        <f>Engagement_Summary[[#This Row],[New_Followers]]-Engagement_Summary[[#This Row],[Unfollows]]</f>
        <v>197</v>
      </c>
      <c r="I56" s="5">
        <f>Engagement_Summary[[#This Row],[Follower Growth]]/(Engagement_Summary[[#This Row],[Total_Followers]]-Engagement_Summary[[#This Row],[Follower Growth]])</f>
        <v>6.1836513048445924E-4</v>
      </c>
    </row>
    <row r="57" spans="1:9" x14ac:dyDescent="0.35">
      <c r="A57" s="1">
        <v>45537</v>
      </c>
      <c r="B57" t="s">
        <v>33</v>
      </c>
      <c r="C57">
        <v>728</v>
      </c>
      <c r="D57">
        <v>395</v>
      </c>
      <c r="E57">
        <v>370971</v>
      </c>
      <c r="F57">
        <v>3.86</v>
      </c>
      <c r="G57">
        <v>12646</v>
      </c>
      <c r="H57">
        <f>Engagement_Summary[[#This Row],[New_Followers]]-Engagement_Summary[[#This Row],[Unfollows]]</f>
        <v>333</v>
      </c>
      <c r="I57" s="5">
        <f>Engagement_Summary[[#This Row],[Follower Growth]]/(Engagement_Summary[[#This Row],[Total_Followers]]-Engagement_Summary[[#This Row],[Follower Growth]])</f>
        <v>8.9845077946675727E-4</v>
      </c>
    </row>
    <row r="58" spans="1:9" x14ac:dyDescent="0.35">
      <c r="A58" s="1">
        <v>45544</v>
      </c>
      <c r="B58" t="s">
        <v>30</v>
      </c>
      <c r="C58">
        <v>1592</v>
      </c>
      <c r="D58">
        <v>20</v>
      </c>
      <c r="E58">
        <v>378054</v>
      </c>
      <c r="F58">
        <v>9.09</v>
      </c>
      <c r="G58">
        <v>26663</v>
      </c>
      <c r="H58">
        <f>Engagement_Summary[[#This Row],[New_Followers]]-Engagement_Summary[[#This Row],[Unfollows]]</f>
        <v>1572</v>
      </c>
      <c r="I58" s="5">
        <f>Engagement_Summary[[#This Row],[Follower Growth]]/(Engagement_Summary[[#This Row],[Total_Followers]]-Engagement_Summary[[#This Row],[Follower Growth]])</f>
        <v>4.1754984302038341E-3</v>
      </c>
    </row>
    <row r="59" spans="1:9" x14ac:dyDescent="0.35">
      <c r="A59" s="1">
        <v>45544</v>
      </c>
      <c r="B59" t="s">
        <v>31</v>
      </c>
      <c r="C59">
        <v>1842</v>
      </c>
      <c r="D59">
        <v>414</v>
      </c>
      <c r="E59">
        <v>307524</v>
      </c>
      <c r="F59">
        <v>1.76</v>
      </c>
      <c r="G59">
        <v>40478</v>
      </c>
      <c r="H59">
        <f>Engagement_Summary[[#This Row],[New_Followers]]-Engagement_Summary[[#This Row],[Unfollows]]</f>
        <v>1428</v>
      </c>
      <c r="I59" s="5">
        <f>Engagement_Summary[[#This Row],[Follower Growth]]/(Engagement_Summary[[#This Row],[Total_Followers]]-Engagement_Summary[[#This Row],[Follower Growth]])</f>
        <v>4.6652030735455539E-3</v>
      </c>
    </row>
    <row r="60" spans="1:9" x14ac:dyDescent="0.35">
      <c r="A60" s="1">
        <v>45544</v>
      </c>
      <c r="B60" t="s">
        <v>32</v>
      </c>
      <c r="C60">
        <v>751</v>
      </c>
      <c r="D60">
        <v>491</v>
      </c>
      <c r="E60">
        <v>434047</v>
      </c>
      <c r="F60">
        <v>9.24</v>
      </c>
      <c r="G60">
        <v>15476</v>
      </c>
      <c r="H60">
        <f>Engagement_Summary[[#This Row],[New_Followers]]-Engagement_Summary[[#This Row],[Unfollows]]</f>
        <v>260</v>
      </c>
      <c r="I60" s="5">
        <f>Engagement_Summary[[#This Row],[Follower Growth]]/(Engagement_Summary[[#This Row],[Total_Followers]]-Engagement_Summary[[#This Row],[Follower Growth]])</f>
        <v>5.9937250309483687E-4</v>
      </c>
    </row>
    <row r="61" spans="1:9" x14ac:dyDescent="0.35">
      <c r="A61" s="1">
        <v>45544</v>
      </c>
      <c r="B61" t="s">
        <v>33</v>
      </c>
      <c r="C61">
        <v>1409</v>
      </c>
      <c r="D61">
        <v>309</v>
      </c>
      <c r="E61">
        <v>64583</v>
      </c>
      <c r="F61">
        <v>8.99</v>
      </c>
      <c r="G61">
        <v>10217</v>
      </c>
      <c r="H61">
        <f>Engagement_Summary[[#This Row],[New_Followers]]-Engagement_Summary[[#This Row],[Unfollows]]</f>
        <v>1100</v>
      </c>
      <c r="I61" s="5">
        <f>Engagement_Summary[[#This Row],[Follower Growth]]/(Engagement_Summary[[#This Row],[Total_Followers]]-Engagement_Summary[[#This Row],[Follower Growth]])</f>
        <v>1.7327473496841675E-2</v>
      </c>
    </row>
    <row r="62" spans="1:9" x14ac:dyDescent="0.35">
      <c r="A62" s="1">
        <v>45551</v>
      </c>
      <c r="B62" t="s">
        <v>30</v>
      </c>
      <c r="C62">
        <v>778</v>
      </c>
      <c r="D62">
        <v>401</v>
      </c>
      <c r="E62">
        <v>50793</v>
      </c>
      <c r="F62">
        <v>3.4</v>
      </c>
      <c r="G62">
        <v>21939</v>
      </c>
      <c r="H62">
        <f>Engagement_Summary[[#This Row],[New_Followers]]-Engagement_Summary[[#This Row],[Unfollows]]</f>
        <v>377</v>
      </c>
      <c r="I62" s="5">
        <f>Engagement_Summary[[#This Row],[Follower Growth]]/(Engagement_Summary[[#This Row],[Total_Followers]]-Engagement_Summary[[#This Row],[Follower Growth]])</f>
        <v>7.4777848302126308E-3</v>
      </c>
    </row>
    <row r="63" spans="1:9" x14ac:dyDescent="0.35">
      <c r="A63" s="1">
        <v>45551</v>
      </c>
      <c r="B63" t="s">
        <v>31</v>
      </c>
      <c r="C63">
        <v>443</v>
      </c>
      <c r="D63">
        <v>345</v>
      </c>
      <c r="E63">
        <v>474162</v>
      </c>
      <c r="F63">
        <v>9.1999999999999993</v>
      </c>
      <c r="G63">
        <v>47462</v>
      </c>
      <c r="H63">
        <f>Engagement_Summary[[#This Row],[New_Followers]]-Engagement_Summary[[#This Row],[Unfollows]]</f>
        <v>98</v>
      </c>
      <c r="I63" s="5">
        <f>Engagement_Summary[[#This Row],[Follower Growth]]/(Engagement_Summary[[#This Row],[Total_Followers]]-Engagement_Summary[[#This Row],[Follower Growth]])</f>
        <v>2.0672314286678591E-4</v>
      </c>
    </row>
    <row r="64" spans="1:9" x14ac:dyDescent="0.35">
      <c r="A64" s="1">
        <v>45551</v>
      </c>
      <c r="B64" t="s">
        <v>32</v>
      </c>
      <c r="C64">
        <v>1472</v>
      </c>
      <c r="D64">
        <v>347</v>
      </c>
      <c r="E64">
        <v>392355</v>
      </c>
      <c r="F64">
        <v>8.59</v>
      </c>
      <c r="G64">
        <v>30270</v>
      </c>
      <c r="H64">
        <f>Engagement_Summary[[#This Row],[New_Followers]]-Engagement_Summary[[#This Row],[Unfollows]]</f>
        <v>1125</v>
      </c>
      <c r="I64" s="5">
        <f>Engagement_Summary[[#This Row],[Follower Growth]]/(Engagement_Summary[[#This Row],[Total_Followers]]-Engagement_Summary[[#This Row],[Follower Growth]])</f>
        <v>2.8755463538072232E-3</v>
      </c>
    </row>
    <row r="65" spans="1:9" x14ac:dyDescent="0.35">
      <c r="A65" s="1">
        <v>45551</v>
      </c>
      <c r="B65" t="s">
        <v>33</v>
      </c>
      <c r="C65">
        <v>123</v>
      </c>
      <c r="D65">
        <v>155</v>
      </c>
      <c r="E65">
        <v>119934</v>
      </c>
      <c r="F65">
        <v>3.5</v>
      </c>
      <c r="G65">
        <v>5442</v>
      </c>
      <c r="H65">
        <f>Engagement_Summary[[#This Row],[New_Followers]]-Engagement_Summary[[#This Row],[Unfollows]]</f>
        <v>-32</v>
      </c>
      <c r="I65" s="5">
        <f>Engagement_Summary[[#This Row],[Follower Growth]]/(Engagement_Summary[[#This Row],[Total_Followers]]-Engagement_Summary[[#This Row],[Follower Growth]])</f>
        <v>-2.6674224363569678E-4</v>
      </c>
    </row>
    <row r="66" spans="1:9" x14ac:dyDescent="0.35">
      <c r="A66" s="1">
        <v>45558</v>
      </c>
      <c r="B66" t="s">
        <v>30</v>
      </c>
      <c r="C66">
        <v>817</v>
      </c>
      <c r="D66">
        <v>151</v>
      </c>
      <c r="E66">
        <v>422625</v>
      </c>
      <c r="F66">
        <v>2.36</v>
      </c>
      <c r="G66">
        <v>1083</v>
      </c>
      <c r="H66">
        <f>Engagement_Summary[[#This Row],[New_Followers]]-Engagement_Summary[[#This Row],[Unfollows]]</f>
        <v>666</v>
      </c>
      <c r="I66" s="5">
        <f>Engagement_Summary[[#This Row],[Follower Growth]]/(Engagement_Summary[[#This Row],[Total_Followers]]-Engagement_Summary[[#This Row],[Follower Growth]])</f>
        <v>1.5783523991667436E-3</v>
      </c>
    </row>
    <row r="67" spans="1:9" x14ac:dyDescent="0.35">
      <c r="A67" s="1">
        <v>45558</v>
      </c>
      <c r="B67" t="s">
        <v>31</v>
      </c>
      <c r="C67">
        <v>198</v>
      </c>
      <c r="D67">
        <v>217</v>
      </c>
      <c r="E67">
        <v>239753</v>
      </c>
      <c r="F67">
        <v>7.36</v>
      </c>
      <c r="G67">
        <v>11901</v>
      </c>
      <c r="H67">
        <f>Engagement_Summary[[#This Row],[New_Followers]]-Engagement_Summary[[#This Row],[Unfollows]]</f>
        <v>-19</v>
      </c>
      <c r="I67" s="5">
        <f>Engagement_Summary[[#This Row],[Follower Growth]]/(Engagement_Summary[[#This Row],[Total_Followers]]-Engagement_Summary[[#This Row],[Follower Growth]])</f>
        <v>-7.9241946515856736E-5</v>
      </c>
    </row>
    <row r="68" spans="1:9" x14ac:dyDescent="0.35">
      <c r="A68" s="1">
        <v>45558</v>
      </c>
      <c r="B68" t="s">
        <v>32</v>
      </c>
      <c r="C68">
        <v>1911</v>
      </c>
      <c r="D68">
        <v>231</v>
      </c>
      <c r="E68">
        <v>268516</v>
      </c>
      <c r="F68">
        <v>8.5500000000000007</v>
      </c>
      <c r="G68">
        <v>24018</v>
      </c>
      <c r="H68">
        <f>Engagement_Summary[[#This Row],[New_Followers]]-Engagement_Summary[[#This Row],[Unfollows]]</f>
        <v>1680</v>
      </c>
      <c r="I68" s="5">
        <f>Engagement_Summary[[#This Row],[Follower Growth]]/(Engagement_Summary[[#This Row],[Total_Followers]]-Engagement_Summary[[#This Row],[Follower Growth]])</f>
        <v>6.2960020387054219E-3</v>
      </c>
    </row>
    <row r="69" spans="1:9" x14ac:dyDescent="0.35">
      <c r="A69" s="1">
        <v>45558</v>
      </c>
      <c r="B69" t="s">
        <v>33</v>
      </c>
      <c r="C69">
        <v>1218</v>
      </c>
      <c r="D69">
        <v>212</v>
      </c>
      <c r="E69">
        <v>63177</v>
      </c>
      <c r="F69">
        <v>8.1300000000000008</v>
      </c>
      <c r="G69">
        <v>38883</v>
      </c>
      <c r="H69">
        <f>Engagement_Summary[[#This Row],[New_Followers]]-Engagement_Summary[[#This Row],[Unfollows]]</f>
        <v>1006</v>
      </c>
      <c r="I69" s="5">
        <f>Engagement_Summary[[#This Row],[Follower Growth]]/(Engagement_Summary[[#This Row],[Total_Followers]]-Engagement_Summary[[#This Row],[Follower Growth]])</f>
        <v>1.6181177719515528E-2</v>
      </c>
    </row>
    <row r="70" spans="1:9" x14ac:dyDescent="0.35">
      <c r="A70" s="1">
        <v>45565</v>
      </c>
      <c r="B70" t="s">
        <v>30</v>
      </c>
      <c r="C70">
        <v>1433</v>
      </c>
      <c r="D70">
        <v>408</v>
      </c>
      <c r="E70">
        <v>370269</v>
      </c>
      <c r="F70">
        <v>3.3</v>
      </c>
      <c r="G70">
        <v>30575</v>
      </c>
      <c r="H70">
        <f>Engagement_Summary[[#This Row],[New_Followers]]-Engagement_Summary[[#This Row],[Unfollows]]</f>
        <v>1025</v>
      </c>
      <c r="I70" s="5">
        <f>Engagement_Summary[[#This Row],[Follower Growth]]/(Engagement_Summary[[#This Row],[Total_Followers]]-Engagement_Summary[[#This Row],[Follower Growth]])</f>
        <v>2.7759421954046647E-3</v>
      </c>
    </row>
    <row r="71" spans="1:9" x14ac:dyDescent="0.35">
      <c r="A71" s="1">
        <v>45565</v>
      </c>
      <c r="B71" t="s">
        <v>31</v>
      </c>
      <c r="C71">
        <v>250</v>
      </c>
      <c r="D71">
        <v>429</v>
      </c>
      <c r="E71">
        <v>453423</v>
      </c>
      <c r="F71">
        <v>1.77</v>
      </c>
      <c r="G71">
        <v>2315</v>
      </c>
      <c r="H71">
        <f>Engagement_Summary[[#This Row],[New_Followers]]-Engagement_Summary[[#This Row],[Unfollows]]</f>
        <v>-179</v>
      </c>
      <c r="I71" s="5">
        <f>Engagement_Summary[[#This Row],[Follower Growth]]/(Engagement_Summary[[#This Row],[Total_Followers]]-Engagement_Summary[[#This Row],[Follower Growth]])</f>
        <v>-3.9461907134448259E-4</v>
      </c>
    </row>
    <row r="72" spans="1:9" x14ac:dyDescent="0.35">
      <c r="A72" s="1">
        <v>45565</v>
      </c>
      <c r="B72" t="s">
        <v>32</v>
      </c>
      <c r="C72">
        <v>752</v>
      </c>
      <c r="D72">
        <v>153</v>
      </c>
      <c r="E72">
        <v>64906</v>
      </c>
      <c r="F72">
        <v>2.09</v>
      </c>
      <c r="G72">
        <v>12148</v>
      </c>
      <c r="H72">
        <f>Engagement_Summary[[#This Row],[New_Followers]]-Engagement_Summary[[#This Row],[Unfollows]]</f>
        <v>599</v>
      </c>
      <c r="I72" s="5">
        <f>Engagement_Summary[[#This Row],[Follower Growth]]/(Engagement_Summary[[#This Row],[Total_Followers]]-Engagement_Summary[[#This Row],[Follower Growth]])</f>
        <v>9.3146935792370964E-3</v>
      </c>
    </row>
    <row r="73" spans="1:9" x14ac:dyDescent="0.35">
      <c r="A73" s="1">
        <v>45565</v>
      </c>
      <c r="B73" t="s">
        <v>33</v>
      </c>
      <c r="C73">
        <v>1918</v>
      </c>
      <c r="D73">
        <v>212</v>
      </c>
      <c r="E73">
        <v>94360</v>
      </c>
      <c r="F73">
        <v>7.36</v>
      </c>
      <c r="G73">
        <v>36851</v>
      </c>
      <c r="H73">
        <f>Engagement_Summary[[#This Row],[New_Followers]]-Engagement_Summary[[#This Row],[Unfollows]]</f>
        <v>1706</v>
      </c>
      <c r="I73" s="5">
        <f>Engagement_Summary[[#This Row],[Follower Growth]]/(Engagement_Summary[[#This Row],[Total_Followers]]-Engagement_Summary[[#This Row],[Follower Growth]])</f>
        <v>1.8412588771126989E-2</v>
      </c>
    </row>
    <row r="74" spans="1:9" x14ac:dyDescent="0.35">
      <c r="A74" s="1">
        <v>45572</v>
      </c>
      <c r="B74" t="s">
        <v>30</v>
      </c>
      <c r="C74">
        <v>1939</v>
      </c>
      <c r="D74">
        <v>67</v>
      </c>
      <c r="E74">
        <v>187183</v>
      </c>
      <c r="F74">
        <v>6.25</v>
      </c>
      <c r="G74">
        <v>41215</v>
      </c>
      <c r="H74">
        <f>Engagement_Summary[[#This Row],[New_Followers]]-Engagement_Summary[[#This Row],[Unfollows]]</f>
        <v>1872</v>
      </c>
      <c r="I74" s="5">
        <f>Engagement_Summary[[#This Row],[Follower Growth]]/(Engagement_Summary[[#This Row],[Total_Followers]]-Engagement_Summary[[#This Row],[Follower Growth]])</f>
        <v>1.0101936744176006E-2</v>
      </c>
    </row>
    <row r="75" spans="1:9" x14ac:dyDescent="0.35">
      <c r="A75" s="1">
        <v>45572</v>
      </c>
      <c r="B75" t="s">
        <v>31</v>
      </c>
      <c r="C75">
        <v>1929</v>
      </c>
      <c r="D75">
        <v>267</v>
      </c>
      <c r="E75">
        <v>379363</v>
      </c>
      <c r="F75">
        <v>1.75</v>
      </c>
      <c r="G75">
        <v>43836</v>
      </c>
      <c r="H75">
        <f>Engagement_Summary[[#This Row],[New_Followers]]-Engagement_Summary[[#This Row],[Unfollows]]</f>
        <v>1662</v>
      </c>
      <c r="I75" s="5">
        <f>Engagement_Summary[[#This Row],[Follower Growth]]/(Engagement_Summary[[#This Row],[Total_Followers]]-Engagement_Summary[[#This Row],[Follower Growth]])</f>
        <v>4.400306062202642E-3</v>
      </c>
    </row>
    <row r="76" spans="1:9" x14ac:dyDescent="0.35">
      <c r="A76" s="1">
        <v>45572</v>
      </c>
      <c r="B76" t="s">
        <v>32</v>
      </c>
      <c r="C76">
        <v>437</v>
      </c>
      <c r="D76">
        <v>330</v>
      </c>
      <c r="E76">
        <v>476486</v>
      </c>
      <c r="F76">
        <v>4.97</v>
      </c>
      <c r="G76">
        <v>4509</v>
      </c>
      <c r="H76">
        <f>Engagement_Summary[[#This Row],[New_Followers]]-Engagement_Summary[[#This Row],[Unfollows]]</f>
        <v>107</v>
      </c>
      <c r="I76" s="5">
        <f>Engagement_Summary[[#This Row],[Follower Growth]]/(Engagement_Summary[[#This Row],[Total_Followers]]-Engagement_Summary[[#This Row],[Follower Growth]])</f>
        <v>2.2461107647482362E-4</v>
      </c>
    </row>
    <row r="77" spans="1:9" x14ac:dyDescent="0.35">
      <c r="A77" s="1">
        <v>45572</v>
      </c>
      <c r="B77" t="s">
        <v>33</v>
      </c>
      <c r="C77">
        <v>307</v>
      </c>
      <c r="D77">
        <v>189</v>
      </c>
      <c r="E77">
        <v>117767</v>
      </c>
      <c r="F77">
        <v>9.3000000000000007</v>
      </c>
      <c r="G77">
        <v>27822</v>
      </c>
      <c r="H77">
        <f>Engagement_Summary[[#This Row],[New_Followers]]-Engagement_Summary[[#This Row],[Unfollows]]</f>
        <v>118</v>
      </c>
      <c r="I77" s="5">
        <f>Engagement_Summary[[#This Row],[Follower Growth]]/(Engagement_Summary[[#This Row],[Total_Followers]]-Engagement_Summary[[#This Row],[Follower Growth]])</f>
        <v>1.0029834507730621E-3</v>
      </c>
    </row>
    <row r="78" spans="1:9" x14ac:dyDescent="0.35">
      <c r="A78" s="1">
        <v>45579</v>
      </c>
      <c r="B78" t="s">
        <v>30</v>
      </c>
      <c r="C78">
        <v>1527</v>
      </c>
      <c r="D78">
        <v>303</v>
      </c>
      <c r="E78">
        <v>388555</v>
      </c>
      <c r="F78">
        <v>8.9</v>
      </c>
      <c r="G78">
        <v>36397</v>
      </c>
      <c r="H78">
        <f>Engagement_Summary[[#This Row],[New_Followers]]-Engagement_Summary[[#This Row],[Unfollows]]</f>
        <v>1224</v>
      </c>
      <c r="I78" s="5">
        <f>Engagement_Summary[[#This Row],[Follower Growth]]/(Engagement_Summary[[#This Row],[Total_Followers]]-Engagement_Summary[[#This Row],[Follower Growth]])</f>
        <v>3.1600878834898319E-3</v>
      </c>
    </row>
    <row r="79" spans="1:9" x14ac:dyDescent="0.35">
      <c r="A79" s="1">
        <v>45579</v>
      </c>
      <c r="B79" t="s">
        <v>31</v>
      </c>
      <c r="C79">
        <v>643</v>
      </c>
      <c r="D79">
        <v>358</v>
      </c>
      <c r="E79">
        <v>157599</v>
      </c>
      <c r="F79">
        <v>3.88</v>
      </c>
      <c r="G79">
        <v>7285</v>
      </c>
      <c r="H79">
        <f>Engagement_Summary[[#This Row],[New_Followers]]-Engagement_Summary[[#This Row],[Unfollows]]</f>
        <v>285</v>
      </c>
      <c r="I79" s="5">
        <f>Engagement_Summary[[#This Row],[Follower Growth]]/(Engagement_Summary[[#This Row],[Total_Followers]]-Engagement_Summary[[#This Row],[Follower Growth]])</f>
        <v>1.8116632976086045E-3</v>
      </c>
    </row>
    <row r="80" spans="1:9" x14ac:dyDescent="0.35">
      <c r="A80" s="1">
        <v>45579</v>
      </c>
      <c r="B80" t="s">
        <v>32</v>
      </c>
      <c r="C80">
        <v>201</v>
      </c>
      <c r="D80">
        <v>221</v>
      </c>
      <c r="E80">
        <v>309772</v>
      </c>
      <c r="F80">
        <v>5.9</v>
      </c>
      <c r="G80">
        <v>33174</v>
      </c>
      <c r="H80">
        <f>Engagement_Summary[[#This Row],[New_Followers]]-Engagement_Summary[[#This Row],[Unfollows]]</f>
        <v>-20</v>
      </c>
      <c r="I80" s="5">
        <f>Engagement_Summary[[#This Row],[Follower Growth]]/(Engagement_Summary[[#This Row],[Total_Followers]]-Engagement_Summary[[#This Row],[Follower Growth]])</f>
        <v>-6.45594463381882E-5</v>
      </c>
    </row>
    <row r="81" spans="1:9" x14ac:dyDescent="0.35">
      <c r="A81" s="1">
        <v>45579</v>
      </c>
      <c r="B81" t="s">
        <v>33</v>
      </c>
      <c r="C81">
        <v>414</v>
      </c>
      <c r="D81">
        <v>47</v>
      </c>
      <c r="E81">
        <v>199178</v>
      </c>
      <c r="F81">
        <v>1.53</v>
      </c>
      <c r="G81">
        <v>6742</v>
      </c>
      <c r="H81">
        <f>Engagement_Summary[[#This Row],[New_Followers]]-Engagement_Summary[[#This Row],[Unfollows]]</f>
        <v>367</v>
      </c>
      <c r="I81" s="5">
        <f>Engagement_Summary[[#This Row],[Follower Growth]]/(Engagement_Summary[[#This Row],[Total_Followers]]-Engagement_Summary[[#This Row],[Follower Growth]])</f>
        <v>1.8459743173164463E-3</v>
      </c>
    </row>
    <row r="82" spans="1:9" x14ac:dyDescent="0.35">
      <c r="A82" s="1">
        <v>45586</v>
      </c>
      <c r="B82" t="s">
        <v>30</v>
      </c>
      <c r="C82">
        <v>703</v>
      </c>
      <c r="D82">
        <v>441</v>
      </c>
      <c r="E82">
        <v>357089</v>
      </c>
      <c r="F82">
        <v>6.5</v>
      </c>
      <c r="G82">
        <v>32478</v>
      </c>
      <c r="H82">
        <f>Engagement_Summary[[#This Row],[New_Followers]]-Engagement_Summary[[#This Row],[Unfollows]]</f>
        <v>262</v>
      </c>
      <c r="I82" s="5">
        <f>Engagement_Summary[[#This Row],[Follower Growth]]/(Engagement_Summary[[#This Row],[Total_Followers]]-Engagement_Summary[[#This Row],[Follower Growth]])</f>
        <v>7.3424937014295445E-4</v>
      </c>
    </row>
    <row r="83" spans="1:9" x14ac:dyDescent="0.35">
      <c r="A83" s="1">
        <v>45586</v>
      </c>
      <c r="B83" t="s">
        <v>31</v>
      </c>
      <c r="C83">
        <v>508</v>
      </c>
      <c r="D83">
        <v>69</v>
      </c>
      <c r="E83">
        <v>23492</v>
      </c>
      <c r="F83">
        <v>3.16</v>
      </c>
      <c r="G83">
        <v>42824</v>
      </c>
      <c r="H83">
        <f>Engagement_Summary[[#This Row],[New_Followers]]-Engagement_Summary[[#This Row],[Unfollows]]</f>
        <v>439</v>
      </c>
      <c r="I83" s="5">
        <f>Engagement_Summary[[#This Row],[Follower Growth]]/(Engagement_Summary[[#This Row],[Total_Followers]]-Engagement_Summary[[#This Row],[Follower Growth]])</f>
        <v>1.904307465405804E-2</v>
      </c>
    </row>
    <row r="84" spans="1:9" x14ac:dyDescent="0.35">
      <c r="A84" s="1">
        <v>45586</v>
      </c>
      <c r="B84" t="s">
        <v>32</v>
      </c>
      <c r="C84">
        <v>697</v>
      </c>
      <c r="D84">
        <v>61</v>
      </c>
      <c r="E84">
        <v>258287</v>
      </c>
      <c r="F84">
        <v>8.25</v>
      </c>
      <c r="G84">
        <v>21208</v>
      </c>
      <c r="H84">
        <f>Engagement_Summary[[#This Row],[New_Followers]]-Engagement_Summary[[#This Row],[Unfollows]]</f>
        <v>636</v>
      </c>
      <c r="I84" s="5">
        <f>Engagement_Summary[[#This Row],[Follower Growth]]/(Engagement_Summary[[#This Row],[Total_Followers]]-Engagement_Summary[[#This Row],[Follower Growth]])</f>
        <v>2.4684553912074862E-3</v>
      </c>
    </row>
    <row r="85" spans="1:9" x14ac:dyDescent="0.35">
      <c r="A85" s="1">
        <v>45586</v>
      </c>
      <c r="B85" t="s">
        <v>33</v>
      </c>
      <c r="C85">
        <v>1707</v>
      </c>
      <c r="D85">
        <v>223</v>
      </c>
      <c r="E85">
        <v>256910</v>
      </c>
      <c r="F85">
        <v>5.41</v>
      </c>
      <c r="G85">
        <v>44321</v>
      </c>
      <c r="H85">
        <f>Engagement_Summary[[#This Row],[New_Followers]]-Engagement_Summary[[#This Row],[Unfollows]]</f>
        <v>1484</v>
      </c>
      <c r="I85" s="5">
        <f>Engagement_Summary[[#This Row],[Follower Growth]]/(Engagement_Summary[[#This Row],[Total_Followers]]-Engagement_Summary[[#This Row],[Follower Growth]])</f>
        <v>5.8099018893926222E-3</v>
      </c>
    </row>
    <row r="86" spans="1:9" x14ac:dyDescent="0.35">
      <c r="A86" s="1">
        <v>45593</v>
      </c>
      <c r="B86" t="s">
        <v>30</v>
      </c>
      <c r="C86">
        <v>642</v>
      </c>
      <c r="D86">
        <v>66</v>
      </c>
      <c r="E86">
        <v>346522</v>
      </c>
      <c r="F86">
        <v>5.85</v>
      </c>
      <c r="G86">
        <v>13116</v>
      </c>
      <c r="H86">
        <f>Engagement_Summary[[#This Row],[New_Followers]]-Engagement_Summary[[#This Row],[Unfollows]]</f>
        <v>576</v>
      </c>
      <c r="I86" s="5">
        <f>Engagement_Summary[[#This Row],[Follower Growth]]/(Engagement_Summary[[#This Row],[Total_Followers]]-Engagement_Summary[[#This Row],[Follower Growth]])</f>
        <v>1.6649997398437907E-3</v>
      </c>
    </row>
    <row r="87" spans="1:9" x14ac:dyDescent="0.35">
      <c r="A87" s="1">
        <v>45593</v>
      </c>
      <c r="B87" t="s">
        <v>31</v>
      </c>
      <c r="C87">
        <v>859</v>
      </c>
      <c r="D87">
        <v>473</v>
      </c>
      <c r="E87">
        <v>209987</v>
      </c>
      <c r="F87">
        <v>4.46</v>
      </c>
      <c r="G87">
        <v>30214</v>
      </c>
      <c r="H87">
        <f>Engagement_Summary[[#This Row],[New_Followers]]-Engagement_Summary[[#This Row],[Unfollows]]</f>
        <v>386</v>
      </c>
      <c r="I87" s="5">
        <f>Engagement_Summary[[#This Row],[Follower Growth]]/(Engagement_Summary[[#This Row],[Total_Followers]]-Engagement_Summary[[#This Row],[Follower Growth]])</f>
        <v>1.8415942672029236E-3</v>
      </c>
    </row>
    <row r="88" spans="1:9" x14ac:dyDescent="0.35">
      <c r="A88" s="1">
        <v>45593</v>
      </c>
      <c r="B88" t="s">
        <v>32</v>
      </c>
      <c r="C88">
        <v>191</v>
      </c>
      <c r="D88">
        <v>154</v>
      </c>
      <c r="E88">
        <v>240550</v>
      </c>
      <c r="F88">
        <v>5.22</v>
      </c>
      <c r="G88">
        <v>15827</v>
      </c>
      <c r="H88">
        <f>Engagement_Summary[[#This Row],[New_Followers]]-Engagement_Summary[[#This Row],[Unfollows]]</f>
        <v>37</v>
      </c>
      <c r="I88" s="5">
        <f>Engagement_Summary[[#This Row],[Follower Growth]]/(Engagement_Summary[[#This Row],[Total_Followers]]-Engagement_Summary[[#This Row],[Follower Growth]])</f>
        <v>1.538378382873275E-4</v>
      </c>
    </row>
    <row r="89" spans="1:9" x14ac:dyDescent="0.35">
      <c r="A89" s="1">
        <v>45593</v>
      </c>
      <c r="B89" t="s">
        <v>33</v>
      </c>
      <c r="C89">
        <v>1814</v>
      </c>
      <c r="D89">
        <v>157</v>
      </c>
      <c r="E89">
        <v>305827</v>
      </c>
      <c r="F89">
        <v>1.99</v>
      </c>
      <c r="G89">
        <v>46643</v>
      </c>
      <c r="H89">
        <f>Engagement_Summary[[#This Row],[New_Followers]]-Engagement_Summary[[#This Row],[Unfollows]]</f>
        <v>1657</v>
      </c>
      <c r="I89" s="5">
        <f>Engagement_Summary[[#This Row],[Follower Growth]]/(Engagement_Summary[[#This Row],[Total_Followers]]-Engagement_Summary[[#This Row],[Follower Growth]])</f>
        <v>5.4476115330242955E-3</v>
      </c>
    </row>
    <row r="90" spans="1:9" x14ac:dyDescent="0.35">
      <c r="A90" s="1">
        <v>45600</v>
      </c>
      <c r="B90" t="s">
        <v>30</v>
      </c>
      <c r="C90">
        <v>1466</v>
      </c>
      <c r="D90">
        <v>69</v>
      </c>
      <c r="E90">
        <v>54935</v>
      </c>
      <c r="F90">
        <v>6.85</v>
      </c>
      <c r="G90">
        <v>36484</v>
      </c>
      <c r="H90">
        <f>Engagement_Summary[[#This Row],[New_Followers]]-Engagement_Summary[[#This Row],[Unfollows]]</f>
        <v>1397</v>
      </c>
      <c r="I90" s="5">
        <f>Engagement_Summary[[#This Row],[Follower Growth]]/(Engagement_Summary[[#This Row],[Total_Followers]]-Engagement_Summary[[#This Row],[Follower Growth]])</f>
        <v>2.609361574956106E-2</v>
      </c>
    </row>
    <row r="91" spans="1:9" x14ac:dyDescent="0.35">
      <c r="A91" s="1">
        <v>45600</v>
      </c>
      <c r="B91" t="s">
        <v>31</v>
      </c>
      <c r="C91">
        <v>947</v>
      </c>
      <c r="D91">
        <v>407</v>
      </c>
      <c r="E91">
        <v>319186</v>
      </c>
      <c r="F91">
        <v>3.32</v>
      </c>
      <c r="G91">
        <v>4996</v>
      </c>
      <c r="H91">
        <f>Engagement_Summary[[#This Row],[New_Followers]]-Engagement_Summary[[#This Row],[Unfollows]]</f>
        <v>540</v>
      </c>
      <c r="I91" s="5">
        <f>Engagement_Summary[[#This Row],[Follower Growth]]/(Engagement_Summary[[#This Row],[Total_Followers]]-Engagement_Summary[[#This Row],[Follower Growth]])</f>
        <v>1.6946705748699183E-3</v>
      </c>
    </row>
    <row r="92" spans="1:9" x14ac:dyDescent="0.35">
      <c r="A92" s="1">
        <v>45600</v>
      </c>
      <c r="B92" t="s">
        <v>32</v>
      </c>
      <c r="C92">
        <v>1821</v>
      </c>
      <c r="D92">
        <v>218</v>
      </c>
      <c r="E92">
        <v>439080</v>
      </c>
      <c r="F92">
        <v>5.68</v>
      </c>
      <c r="G92">
        <v>36095</v>
      </c>
      <c r="H92">
        <f>Engagement_Summary[[#This Row],[New_Followers]]-Engagement_Summary[[#This Row],[Unfollows]]</f>
        <v>1603</v>
      </c>
      <c r="I92" s="5">
        <f>Engagement_Summary[[#This Row],[Follower Growth]]/(Engagement_Summary[[#This Row],[Total_Followers]]-Engagement_Summary[[#This Row],[Follower Growth]])</f>
        <v>3.6641926318412166E-3</v>
      </c>
    </row>
    <row r="93" spans="1:9" x14ac:dyDescent="0.35">
      <c r="A93" s="1">
        <v>45600</v>
      </c>
      <c r="B93" t="s">
        <v>33</v>
      </c>
      <c r="C93">
        <v>1507</v>
      </c>
      <c r="D93">
        <v>463</v>
      </c>
      <c r="E93">
        <v>258944</v>
      </c>
      <c r="F93">
        <v>6.08</v>
      </c>
      <c r="G93">
        <v>16443</v>
      </c>
      <c r="H93">
        <f>Engagement_Summary[[#This Row],[New_Followers]]-Engagement_Summary[[#This Row],[Unfollows]]</f>
        <v>1044</v>
      </c>
      <c r="I93" s="5">
        <f>Engagement_Summary[[#This Row],[Follower Growth]]/(Engagement_Summary[[#This Row],[Total_Followers]]-Engagement_Summary[[#This Row],[Follower Growth]])</f>
        <v>4.0480806514152775E-3</v>
      </c>
    </row>
    <row r="94" spans="1:9" x14ac:dyDescent="0.35">
      <c r="A94" s="1">
        <v>45607</v>
      </c>
      <c r="B94" t="s">
        <v>30</v>
      </c>
      <c r="C94">
        <v>1075</v>
      </c>
      <c r="D94">
        <v>173</v>
      </c>
      <c r="E94">
        <v>51395</v>
      </c>
      <c r="F94">
        <v>4.66</v>
      </c>
      <c r="G94">
        <v>47812</v>
      </c>
      <c r="H94">
        <f>Engagement_Summary[[#This Row],[New_Followers]]-Engagement_Summary[[#This Row],[Unfollows]]</f>
        <v>902</v>
      </c>
      <c r="I94" s="5">
        <f>Engagement_Summary[[#This Row],[Follower Growth]]/(Engagement_Summary[[#This Row],[Total_Followers]]-Engagement_Summary[[#This Row],[Follower Growth]])</f>
        <v>1.7863862317548967E-2</v>
      </c>
    </row>
    <row r="95" spans="1:9" x14ac:dyDescent="0.35">
      <c r="A95" s="1">
        <v>45607</v>
      </c>
      <c r="B95" t="s">
        <v>31</v>
      </c>
      <c r="C95">
        <v>171</v>
      </c>
      <c r="D95">
        <v>277</v>
      </c>
      <c r="E95">
        <v>309483</v>
      </c>
      <c r="F95">
        <v>8.6999999999999993</v>
      </c>
      <c r="G95">
        <v>38452</v>
      </c>
      <c r="H95">
        <f>Engagement_Summary[[#This Row],[New_Followers]]-Engagement_Summary[[#This Row],[Unfollows]]</f>
        <v>-106</v>
      </c>
      <c r="I95" s="5">
        <f>Engagement_Summary[[#This Row],[Follower Growth]]/(Engagement_Summary[[#This Row],[Total_Followers]]-Engagement_Summary[[#This Row],[Follower Growth]])</f>
        <v>-3.4238942598089728E-4</v>
      </c>
    </row>
    <row r="96" spans="1:9" x14ac:dyDescent="0.35">
      <c r="A96" s="1">
        <v>45607</v>
      </c>
      <c r="B96" t="s">
        <v>32</v>
      </c>
      <c r="C96">
        <v>1487</v>
      </c>
      <c r="D96">
        <v>337</v>
      </c>
      <c r="E96">
        <v>87305</v>
      </c>
      <c r="F96">
        <v>2.46</v>
      </c>
      <c r="G96">
        <v>30428</v>
      </c>
      <c r="H96">
        <f>Engagement_Summary[[#This Row],[New_Followers]]-Engagement_Summary[[#This Row],[Unfollows]]</f>
        <v>1150</v>
      </c>
      <c r="I96" s="5">
        <f>Engagement_Summary[[#This Row],[Follower Growth]]/(Engagement_Summary[[#This Row],[Total_Followers]]-Engagement_Summary[[#This Row],[Follower Growth]])</f>
        <v>1.3348035517381463E-2</v>
      </c>
    </row>
    <row r="97" spans="1:9" x14ac:dyDescent="0.35">
      <c r="A97" s="1">
        <v>45607</v>
      </c>
      <c r="B97" t="s">
        <v>33</v>
      </c>
      <c r="C97">
        <v>454</v>
      </c>
      <c r="D97">
        <v>105</v>
      </c>
      <c r="E97">
        <v>121091</v>
      </c>
      <c r="F97">
        <v>7.97</v>
      </c>
      <c r="G97">
        <v>9269</v>
      </c>
      <c r="H97">
        <f>Engagement_Summary[[#This Row],[New_Followers]]-Engagement_Summary[[#This Row],[Unfollows]]</f>
        <v>349</v>
      </c>
      <c r="I97" s="5">
        <f>Engagement_Summary[[#This Row],[Follower Growth]]/(Engagement_Summary[[#This Row],[Total_Followers]]-Engagement_Summary[[#This Row],[Follower Growth]])</f>
        <v>2.8904606516373756E-3</v>
      </c>
    </row>
    <row r="98" spans="1:9" x14ac:dyDescent="0.35">
      <c r="A98" s="1">
        <v>45614</v>
      </c>
      <c r="B98" t="s">
        <v>30</v>
      </c>
      <c r="C98">
        <v>187</v>
      </c>
      <c r="D98">
        <v>236</v>
      </c>
      <c r="E98">
        <v>51087</v>
      </c>
      <c r="F98">
        <v>9.41</v>
      </c>
      <c r="G98">
        <v>29533</v>
      </c>
      <c r="H98">
        <f>Engagement_Summary[[#This Row],[New_Followers]]-Engagement_Summary[[#This Row],[Unfollows]]</f>
        <v>-49</v>
      </c>
      <c r="I98" s="5">
        <f>Engagement_Summary[[#This Row],[Follower Growth]]/(Engagement_Summary[[#This Row],[Total_Followers]]-Engagement_Summary[[#This Row],[Follower Growth]])</f>
        <v>-9.5822903629536917E-4</v>
      </c>
    </row>
    <row r="99" spans="1:9" x14ac:dyDescent="0.35">
      <c r="A99" s="1">
        <v>45614</v>
      </c>
      <c r="B99" t="s">
        <v>31</v>
      </c>
      <c r="C99">
        <v>513</v>
      </c>
      <c r="D99">
        <v>441</v>
      </c>
      <c r="E99">
        <v>338847</v>
      </c>
      <c r="F99">
        <v>2.68</v>
      </c>
      <c r="G99">
        <v>39997</v>
      </c>
      <c r="H99">
        <f>Engagement_Summary[[#This Row],[New_Followers]]-Engagement_Summary[[#This Row],[Unfollows]]</f>
        <v>72</v>
      </c>
      <c r="I99" s="5">
        <f>Engagement_Summary[[#This Row],[Follower Growth]]/(Engagement_Summary[[#This Row],[Total_Followers]]-Engagement_Summary[[#This Row],[Follower Growth]])</f>
        <v>2.1253044055789241E-4</v>
      </c>
    </row>
    <row r="100" spans="1:9" x14ac:dyDescent="0.35">
      <c r="A100" s="1">
        <v>45614</v>
      </c>
      <c r="B100" t="s">
        <v>32</v>
      </c>
      <c r="C100">
        <v>628</v>
      </c>
      <c r="D100">
        <v>183</v>
      </c>
      <c r="E100">
        <v>487523</v>
      </c>
      <c r="F100">
        <v>7.32</v>
      </c>
      <c r="G100">
        <v>5391</v>
      </c>
      <c r="H100">
        <f>Engagement_Summary[[#This Row],[New_Followers]]-Engagement_Summary[[#This Row],[Unfollows]]</f>
        <v>445</v>
      </c>
      <c r="I100" s="5">
        <f>Engagement_Summary[[#This Row],[Follower Growth]]/(Engagement_Summary[[#This Row],[Total_Followers]]-Engagement_Summary[[#This Row],[Follower Growth]])</f>
        <v>9.1361137230587303E-4</v>
      </c>
    </row>
    <row r="101" spans="1:9" x14ac:dyDescent="0.35">
      <c r="A101" s="1">
        <v>45614</v>
      </c>
      <c r="B101" t="s">
        <v>33</v>
      </c>
      <c r="C101">
        <v>278</v>
      </c>
      <c r="D101">
        <v>218</v>
      </c>
      <c r="E101">
        <v>301695</v>
      </c>
      <c r="F101">
        <v>4.68</v>
      </c>
      <c r="G101">
        <v>22373</v>
      </c>
      <c r="H101">
        <f>Engagement_Summary[[#This Row],[New_Followers]]-Engagement_Summary[[#This Row],[Unfollows]]</f>
        <v>60</v>
      </c>
      <c r="I101" s="5">
        <f>Engagement_Summary[[#This Row],[Follower Growth]]/(Engagement_Summary[[#This Row],[Total_Followers]]-Engagement_Summary[[#This Row],[Follower Growth]])</f>
        <v>1.9891590829976627E-4</v>
      </c>
    </row>
    <row r="102" spans="1:9" x14ac:dyDescent="0.35">
      <c r="A102" s="1">
        <v>45621</v>
      </c>
      <c r="B102" t="s">
        <v>30</v>
      </c>
      <c r="C102">
        <v>1854</v>
      </c>
      <c r="D102">
        <v>161</v>
      </c>
      <c r="E102">
        <v>282466</v>
      </c>
      <c r="F102">
        <v>5.17</v>
      </c>
      <c r="G102">
        <v>1810</v>
      </c>
      <c r="H102">
        <f>Engagement_Summary[[#This Row],[New_Followers]]-Engagement_Summary[[#This Row],[Unfollows]]</f>
        <v>1693</v>
      </c>
      <c r="I102" s="5">
        <f>Engagement_Summary[[#This Row],[Follower Growth]]/(Engagement_Summary[[#This Row],[Total_Followers]]-Engagement_Summary[[#This Row],[Follower Growth]])</f>
        <v>6.0297820659393885E-3</v>
      </c>
    </row>
    <row r="103" spans="1:9" x14ac:dyDescent="0.35">
      <c r="A103" s="1">
        <v>45621</v>
      </c>
      <c r="B103" t="s">
        <v>31</v>
      </c>
      <c r="C103">
        <v>1710</v>
      </c>
      <c r="D103">
        <v>378</v>
      </c>
      <c r="E103">
        <v>336661</v>
      </c>
      <c r="F103">
        <v>6.2</v>
      </c>
      <c r="G103">
        <v>28498</v>
      </c>
      <c r="H103">
        <f>Engagement_Summary[[#This Row],[New_Followers]]-Engagement_Summary[[#This Row],[Unfollows]]</f>
        <v>1332</v>
      </c>
      <c r="I103" s="5">
        <f>Engagement_Summary[[#This Row],[Follower Growth]]/(Engagement_Summary[[#This Row],[Total_Followers]]-Engagement_Summary[[#This Row],[Follower Growth]])</f>
        <v>3.9722183288650849E-3</v>
      </c>
    </row>
    <row r="104" spans="1:9" x14ac:dyDescent="0.35">
      <c r="A104" s="1">
        <v>45621</v>
      </c>
      <c r="B104" t="s">
        <v>32</v>
      </c>
      <c r="C104">
        <v>330</v>
      </c>
      <c r="D104">
        <v>232</v>
      </c>
      <c r="E104">
        <v>88455</v>
      </c>
      <c r="F104">
        <v>2.69</v>
      </c>
      <c r="G104">
        <v>39530</v>
      </c>
      <c r="H104">
        <f>Engagement_Summary[[#This Row],[New_Followers]]-Engagement_Summary[[#This Row],[Unfollows]]</f>
        <v>98</v>
      </c>
      <c r="I104" s="5">
        <f>Engagement_Summary[[#This Row],[Follower Growth]]/(Engagement_Summary[[#This Row],[Total_Followers]]-Engagement_Summary[[#This Row],[Follower Growth]])</f>
        <v>1.1091367973109091E-3</v>
      </c>
    </row>
    <row r="105" spans="1:9" x14ac:dyDescent="0.35">
      <c r="A105" s="1">
        <v>45621</v>
      </c>
      <c r="B105" t="s">
        <v>33</v>
      </c>
      <c r="C105">
        <v>1293</v>
      </c>
      <c r="D105">
        <v>408</v>
      </c>
      <c r="E105">
        <v>62535</v>
      </c>
      <c r="F105">
        <v>8.9</v>
      </c>
      <c r="G105">
        <v>37876</v>
      </c>
      <c r="H105">
        <f>Engagement_Summary[[#This Row],[New_Followers]]-Engagement_Summary[[#This Row],[Unfollows]]</f>
        <v>885</v>
      </c>
      <c r="I105" s="5">
        <f>Engagement_Summary[[#This Row],[Follower Growth]]/(Engagement_Summary[[#This Row],[Total_Followers]]-Engagement_Summary[[#This Row],[Follower Growth]])</f>
        <v>1.4355231143552312E-2</v>
      </c>
    </row>
    <row r="106" spans="1:9" x14ac:dyDescent="0.35">
      <c r="A106" s="1">
        <v>45628</v>
      </c>
      <c r="B106" t="s">
        <v>30</v>
      </c>
      <c r="C106">
        <v>1696</v>
      </c>
      <c r="D106">
        <v>71</v>
      </c>
      <c r="E106">
        <v>421957</v>
      </c>
      <c r="F106">
        <v>3.79</v>
      </c>
      <c r="G106">
        <v>36103</v>
      </c>
      <c r="H106">
        <f>Engagement_Summary[[#This Row],[New_Followers]]-Engagement_Summary[[#This Row],[Unfollows]]</f>
        <v>1625</v>
      </c>
      <c r="I106" s="5">
        <f>Engagement_Summary[[#This Row],[Follower Growth]]/(Engagement_Summary[[#This Row],[Total_Followers]]-Engagement_Summary[[#This Row],[Follower Growth]])</f>
        <v>3.8659916446999038E-3</v>
      </c>
    </row>
    <row r="107" spans="1:9" x14ac:dyDescent="0.35">
      <c r="A107" s="1">
        <v>45628</v>
      </c>
      <c r="B107" t="s">
        <v>31</v>
      </c>
      <c r="C107">
        <v>1902</v>
      </c>
      <c r="D107">
        <v>196</v>
      </c>
      <c r="E107">
        <v>470269</v>
      </c>
      <c r="F107">
        <v>4.79</v>
      </c>
      <c r="G107">
        <v>26103</v>
      </c>
      <c r="H107">
        <f>Engagement_Summary[[#This Row],[New_Followers]]-Engagement_Summary[[#This Row],[Unfollows]]</f>
        <v>1706</v>
      </c>
      <c r="I107" s="5">
        <f>Engagement_Summary[[#This Row],[Follower Growth]]/(Engagement_Summary[[#This Row],[Total_Followers]]-Engagement_Summary[[#This Row],[Follower Growth]])</f>
        <v>3.6409191506798447E-3</v>
      </c>
    </row>
    <row r="108" spans="1:9" x14ac:dyDescent="0.35">
      <c r="A108" s="1">
        <v>45628</v>
      </c>
      <c r="B108" t="s">
        <v>32</v>
      </c>
      <c r="C108">
        <v>1441</v>
      </c>
      <c r="D108">
        <v>268</v>
      </c>
      <c r="E108">
        <v>309904</v>
      </c>
      <c r="F108">
        <v>6.37</v>
      </c>
      <c r="G108">
        <v>3455</v>
      </c>
      <c r="H108">
        <f>Engagement_Summary[[#This Row],[New_Followers]]-Engagement_Summary[[#This Row],[Unfollows]]</f>
        <v>1173</v>
      </c>
      <c r="I108" s="5">
        <f>Engagement_Summary[[#This Row],[Follower Growth]]/(Engagement_Summary[[#This Row],[Total_Followers]]-Engagement_Summary[[#This Row],[Follower Growth]])</f>
        <v>3.7994240941142936E-3</v>
      </c>
    </row>
    <row r="109" spans="1:9" x14ac:dyDescent="0.35">
      <c r="A109" s="1">
        <v>45628</v>
      </c>
      <c r="B109" t="s">
        <v>33</v>
      </c>
      <c r="C109">
        <v>452</v>
      </c>
      <c r="D109">
        <v>161</v>
      </c>
      <c r="E109">
        <v>221274</v>
      </c>
      <c r="F109">
        <v>2.65</v>
      </c>
      <c r="G109">
        <v>40888</v>
      </c>
      <c r="H109">
        <f>Engagement_Summary[[#This Row],[New_Followers]]-Engagement_Summary[[#This Row],[Unfollows]]</f>
        <v>291</v>
      </c>
      <c r="I109" s="5">
        <f>Engagement_Summary[[#This Row],[Follower Growth]]/(Engagement_Summary[[#This Row],[Total_Followers]]-Engagement_Summary[[#This Row],[Follower Growth]])</f>
        <v>1.3168433770923554E-3</v>
      </c>
    </row>
    <row r="110" spans="1:9" x14ac:dyDescent="0.35">
      <c r="A110" s="1">
        <v>45635</v>
      </c>
      <c r="B110" t="s">
        <v>30</v>
      </c>
      <c r="C110">
        <v>1494</v>
      </c>
      <c r="D110">
        <v>375</v>
      </c>
      <c r="E110">
        <v>220616</v>
      </c>
      <c r="F110">
        <v>1.81</v>
      </c>
      <c r="G110">
        <v>22724</v>
      </c>
      <c r="H110">
        <f>Engagement_Summary[[#This Row],[New_Followers]]-Engagement_Summary[[#This Row],[Unfollows]]</f>
        <v>1119</v>
      </c>
      <c r="I110" s="5">
        <f>Engagement_Summary[[#This Row],[Follower Growth]]/(Engagement_Summary[[#This Row],[Total_Followers]]-Engagement_Summary[[#This Row],[Follower Growth]])</f>
        <v>5.0980195629097436E-3</v>
      </c>
    </row>
    <row r="111" spans="1:9" x14ac:dyDescent="0.35">
      <c r="A111" s="1">
        <v>45635</v>
      </c>
      <c r="B111" t="s">
        <v>31</v>
      </c>
      <c r="C111">
        <v>1514</v>
      </c>
      <c r="D111">
        <v>141</v>
      </c>
      <c r="E111">
        <v>35842</v>
      </c>
      <c r="F111">
        <v>7.47</v>
      </c>
      <c r="G111">
        <v>18601</v>
      </c>
      <c r="H111">
        <f>Engagement_Summary[[#This Row],[New_Followers]]-Engagement_Summary[[#This Row],[Unfollows]]</f>
        <v>1373</v>
      </c>
      <c r="I111" s="5">
        <f>Engagement_Summary[[#This Row],[Follower Growth]]/(Engagement_Summary[[#This Row],[Total_Followers]]-Engagement_Summary[[#This Row],[Follower Growth]])</f>
        <v>3.9832893324436451E-2</v>
      </c>
    </row>
    <row r="112" spans="1:9" x14ac:dyDescent="0.35">
      <c r="A112" s="1">
        <v>45635</v>
      </c>
      <c r="B112" t="s">
        <v>32</v>
      </c>
      <c r="C112">
        <v>1937</v>
      </c>
      <c r="D112">
        <v>210</v>
      </c>
      <c r="E112">
        <v>20607</v>
      </c>
      <c r="F112">
        <v>4.2</v>
      </c>
      <c r="G112">
        <v>20861</v>
      </c>
      <c r="H112">
        <f>Engagement_Summary[[#This Row],[New_Followers]]-Engagement_Summary[[#This Row],[Unfollows]]</f>
        <v>1727</v>
      </c>
      <c r="I112" s="5">
        <f>Engagement_Summary[[#This Row],[Follower Growth]]/(Engagement_Summary[[#This Row],[Total_Followers]]-Engagement_Summary[[#This Row],[Follower Growth]])</f>
        <v>9.1472457627118642E-2</v>
      </c>
    </row>
    <row r="113" spans="1:9" x14ac:dyDescent="0.35">
      <c r="A113" s="1">
        <v>45635</v>
      </c>
      <c r="B113" t="s">
        <v>33</v>
      </c>
      <c r="C113">
        <v>736</v>
      </c>
      <c r="D113">
        <v>163</v>
      </c>
      <c r="E113">
        <v>451894</v>
      </c>
      <c r="F113">
        <v>5.43</v>
      </c>
      <c r="G113">
        <v>46625</v>
      </c>
      <c r="H113">
        <f>Engagement_Summary[[#This Row],[New_Followers]]-Engagement_Summary[[#This Row],[Unfollows]]</f>
        <v>573</v>
      </c>
      <c r="I113" s="5">
        <f>Engagement_Summary[[#This Row],[Follower Growth]]/(Engagement_Summary[[#This Row],[Total_Followers]]-Engagement_Summary[[#This Row],[Follower Growth]])</f>
        <v>1.2696063334079292E-3</v>
      </c>
    </row>
    <row r="114" spans="1:9" x14ac:dyDescent="0.35">
      <c r="A114" s="1">
        <v>45642</v>
      </c>
      <c r="B114" t="s">
        <v>30</v>
      </c>
      <c r="C114">
        <v>1502</v>
      </c>
      <c r="D114">
        <v>70</v>
      </c>
      <c r="E114">
        <v>465553</v>
      </c>
      <c r="F114">
        <v>3.32</v>
      </c>
      <c r="G114">
        <v>20692</v>
      </c>
      <c r="H114">
        <f>Engagement_Summary[[#This Row],[New_Followers]]-Engagement_Summary[[#This Row],[Unfollows]]</f>
        <v>1432</v>
      </c>
      <c r="I114" s="5">
        <f>Engagement_Summary[[#This Row],[Follower Growth]]/(Engagement_Summary[[#This Row],[Total_Followers]]-Engagement_Summary[[#This Row],[Follower Growth]])</f>
        <v>3.0854022981076056E-3</v>
      </c>
    </row>
    <row r="115" spans="1:9" x14ac:dyDescent="0.35">
      <c r="A115" s="1">
        <v>45642</v>
      </c>
      <c r="B115" t="s">
        <v>31</v>
      </c>
      <c r="C115">
        <v>1623</v>
      </c>
      <c r="D115">
        <v>246</v>
      </c>
      <c r="E115">
        <v>415815</v>
      </c>
      <c r="F115">
        <v>8.11</v>
      </c>
      <c r="G115">
        <v>18656</v>
      </c>
      <c r="H115">
        <f>Engagement_Summary[[#This Row],[New_Followers]]-Engagement_Summary[[#This Row],[Unfollows]]</f>
        <v>1377</v>
      </c>
      <c r="I115" s="5">
        <f>Engagement_Summary[[#This Row],[Follower Growth]]/(Engagement_Summary[[#This Row],[Total_Followers]]-Engagement_Summary[[#This Row],[Follower Growth]])</f>
        <v>3.3225717718935038E-3</v>
      </c>
    </row>
    <row r="116" spans="1:9" x14ac:dyDescent="0.35">
      <c r="A116" s="1">
        <v>45642</v>
      </c>
      <c r="B116" t="s">
        <v>32</v>
      </c>
      <c r="C116">
        <v>1592</v>
      </c>
      <c r="D116">
        <v>233</v>
      </c>
      <c r="E116">
        <v>327183</v>
      </c>
      <c r="F116">
        <v>6.66</v>
      </c>
      <c r="G116">
        <v>13316</v>
      </c>
      <c r="H116">
        <f>Engagement_Summary[[#This Row],[New_Followers]]-Engagement_Summary[[#This Row],[Unfollows]]</f>
        <v>1359</v>
      </c>
      <c r="I116" s="5">
        <f>Engagement_Summary[[#This Row],[Follower Growth]]/(Engagement_Summary[[#This Row],[Total_Followers]]-Engagement_Summary[[#This Row],[Follower Growth]])</f>
        <v>4.1709634649381259E-3</v>
      </c>
    </row>
    <row r="117" spans="1:9" x14ac:dyDescent="0.35">
      <c r="A117" s="1">
        <v>45642</v>
      </c>
      <c r="B117" t="s">
        <v>33</v>
      </c>
      <c r="C117">
        <v>1004</v>
      </c>
      <c r="D117">
        <v>128</v>
      </c>
      <c r="E117">
        <v>488901</v>
      </c>
      <c r="F117">
        <v>8.09</v>
      </c>
      <c r="G117">
        <v>49558</v>
      </c>
      <c r="H117">
        <f>Engagement_Summary[[#This Row],[New_Followers]]-Engagement_Summary[[#This Row],[Unfollows]]</f>
        <v>876</v>
      </c>
      <c r="I117" s="5">
        <f>Engagement_Summary[[#This Row],[Follower Growth]]/(Engagement_Summary[[#This Row],[Total_Followers]]-Engagement_Summary[[#This Row],[Follower Growth]])</f>
        <v>1.7949900107576456E-3</v>
      </c>
    </row>
    <row r="118" spans="1:9" x14ac:dyDescent="0.35">
      <c r="A118" s="1">
        <v>45649</v>
      </c>
      <c r="B118" t="s">
        <v>30</v>
      </c>
      <c r="C118">
        <v>1092</v>
      </c>
      <c r="D118">
        <v>408</v>
      </c>
      <c r="E118">
        <v>280795</v>
      </c>
      <c r="F118">
        <v>8.44</v>
      </c>
      <c r="G118">
        <v>4683</v>
      </c>
      <c r="H118">
        <f>Engagement_Summary[[#This Row],[New_Followers]]-Engagement_Summary[[#This Row],[Unfollows]]</f>
        <v>684</v>
      </c>
      <c r="I118" s="5">
        <f>Engagement_Summary[[#This Row],[Follower Growth]]/(Engagement_Summary[[#This Row],[Total_Followers]]-Engagement_Summary[[#This Row],[Follower Growth]])</f>
        <v>2.4418891082463737E-3</v>
      </c>
    </row>
    <row r="119" spans="1:9" x14ac:dyDescent="0.35">
      <c r="A119" s="1">
        <v>45649</v>
      </c>
      <c r="B119" t="s">
        <v>31</v>
      </c>
      <c r="C119">
        <v>1155</v>
      </c>
      <c r="D119">
        <v>425</v>
      </c>
      <c r="E119">
        <v>93347</v>
      </c>
      <c r="F119">
        <v>2.02</v>
      </c>
      <c r="G119">
        <v>47502</v>
      </c>
      <c r="H119">
        <f>Engagement_Summary[[#This Row],[New_Followers]]-Engagement_Summary[[#This Row],[Unfollows]]</f>
        <v>730</v>
      </c>
      <c r="I119" s="5">
        <f>Engagement_Summary[[#This Row],[Follower Growth]]/(Engagement_Summary[[#This Row],[Total_Followers]]-Engagement_Summary[[#This Row],[Follower Growth]])</f>
        <v>7.8819223252750582E-3</v>
      </c>
    </row>
    <row r="120" spans="1:9" x14ac:dyDescent="0.35">
      <c r="A120" s="1">
        <v>45649</v>
      </c>
      <c r="B120" t="s">
        <v>32</v>
      </c>
      <c r="C120">
        <v>1137</v>
      </c>
      <c r="D120">
        <v>226</v>
      </c>
      <c r="E120">
        <v>81119</v>
      </c>
      <c r="F120">
        <v>7.74</v>
      </c>
      <c r="G120">
        <v>35359</v>
      </c>
      <c r="H120">
        <f>Engagement_Summary[[#This Row],[New_Followers]]-Engagement_Summary[[#This Row],[Unfollows]]</f>
        <v>911</v>
      </c>
      <c r="I120" s="5">
        <f>Engagement_Summary[[#This Row],[Follower Growth]]/(Engagement_Summary[[#This Row],[Total_Followers]]-Engagement_Summary[[#This Row],[Follower Growth]])</f>
        <v>1.1357969279872333E-2</v>
      </c>
    </row>
    <row r="121" spans="1:9" x14ac:dyDescent="0.35">
      <c r="A121" s="1">
        <v>45649</v>
      </c>
      <c r="B121" t="s">
        <v>33</v>
      </c>
      <c r="C121">
        <v>1900</v>
      </c>
      <c r="D121">
        <v>311</v>
      </c>
      <c r="E121">
        <v>25177</v>
      </c>
      <c r="F121">
        <v>2.89</v>
      </c>
      <c r="G121">
        <v>14154</v>
      </c>
      <c r="H121">
        <f>Engagement_Summary[[#This Row],[New_Followers]]-Engagement_Summary[[#This Row],[Unfollows]]</f>
        <v>1589</v>
      </c>
      <c r="I121" s="5">
        <f>Engagement_Summary[[#This Row],[Follower Growth]]/(Engagement_Summary[[#This Row],[Total_Followers]]-Engagement_Summary[[#This Row],[Follower Growth]])</f>
        <v>6.7364761743259283E-2</v>
      </c>
    </row>
    <row r="122" spans="1:9" x14ac:dyDescent="0.35">
      <c r="A122" s="1">
        <v>45656</v>
      </c>
      <c r="B122" t="s">
        <v>30</v>
      </c>
      <c r="C122">
        <v>1814</v>
      </c>
      <c r="D122">
        <v>49</v>
      </c>
      <c r="E122">
        <v>140804</v>
      </c>
      <c r="F122">
        <v>1.76</v>
      </c>
      <c r="G122">
        <v>4313</v>
      </c>
      <c r="H122">
        <f>Engagement_Summary[[#This Row],[New_Followers]]-Engagement_Summary[[#This Row],[Unfollows]]</f>
        <v>1765</v>
      </c>
      <c r="I122" s="5">
        <f>Engagement_Summary[[#This Row],[Follower Growth]]/(Engagement_Summary[[#This Row],[Total_Followers]]-Engagement_Summary[[#This Row],[Follower Growth]])</f>
        <v>1.2694280022152058E-2</v>
      </c>
    </row>
    <row r="123" spans="1:9" x14ac:dyDescent="0.35">
      <c r="A123" s="1">
        <v>45656</v>
      </c>
      <c r="B123" t="s">
        <v>31</v>
      </c>
      <c r="C123">
        <v>1980</v>
      </c>
      <c r="D123">
        <v>204</v>
      </c>
      <c r="E123">
        <v>379431</v>
      </c>
      <c r="F123">
        <v>3.09</v>
      </c>
      <c r="G123">
        <v>25140</v>
      </c>
      <c r="H123">
        <f>Engagement_Summary[[#This Row],[New_Followers]]-Engagement_Summary[[#This Row],[Unfollows]]</f>
        <v>1776</v>
      </c>
      <c r="I123" s="5">
        <f>Engagement_Summary[[#This Row],[Follower Growth]]/(Engagement_Summary[[#This Row],[Total_Followers]]-Engagement_Summary[[#This Row],[Follower Growth]])</f>
        <v>4.7027048496643764E-3</v>
      </c>
    </row>
    <row r="124" spans="1:9" x14ac:dyDescent="0.35">
      <c r="A124" s="1">
        <v>45656</v>
      </c>
      <c r="B124" t="s">
        <v>32</v>
      </c>
      <c r="C124">
        <v>1786</v>
      </c>
      <c r="D124">
        <v>257</v>
      </c>
      <c r="E124">
        <v>274831</v>
      </c>
      <c r="F124">
        <v>4.68</v>
      </c>
      <c r="G124">
        <v>9118</v>
      </c>
      <c r="H124">
        <f>Engagement_Summary[[#This Row],[New_Followers]]-Engagement_Summary[[#This Row],[Unfollows]]</f>
        <v>1529</v>
      </c>
      <c r="I124" s="5">
        <f>Engagement_Summary[[#This Row],[Follower Growth]]/(Engagement_Summary[[#This Row],[Total_Followers]]-Engagement_Summary[[#This Row],[Follower Growth]])</f>
        <v>5.5945437647730353E-3</v>
      </c>
    </row>
    <row r="125" spans="1:9" x14ac:dyDescent="0.35">
      <c r="A125" s="1">
        <v>45656</v>
      </c>
      <c r="B125" t="s">
        <v>33</v>
      </c>
      <c r="C125">
        <v>1495</v>
      </c>
      <c r="D125">
        <v>35</v>
      </c>
      <c r="E125">
        <v>136845</v>
      </c>
      <c r="F125">
        <v>4.4800000000000004</v>
      </c>
      <c r="G125">
        <v>39931</v>
      </c>
      <c r="H125">
        <f>Engagement_Summary[[#This Row],[New_Followers]]-Engagement_Summary[[#This Row],[Unfollows]]</f>
        <v>1460</v>
      </c>
      <c r="I125" s="5">
        <f>Engagement_Summary[[#This Row],[Follower Growth]]/(Engagement_Summary[[#This Row],[Total_Followers]]-Engagement_Summary[[#This Row],[Follower Growth]])</f>
        <v>1.0784060272556044E-2</v>
      </c>
    </row>
    <row r="126" spans="1:9" x14ac:dyDescent="0.35">
      <c r="A126" s="1">
        <v>45663</v>
      </c>
      <c r="B126" t="s">
        <v>30</v>
      </c>
      <c r="C126">
        <v>1013</v>
      </c>
      <c r="D126">
        <v>110</v>
      </c>
      <c r="E126">
        <v>466382</v>
      </c>
      <c r="F126">
        <v>5.3</v>
      </c>
      <c r="G126">
        <v>37132</v>
      </c>
      <c r="H126">
        <f>Engagement_Summary[[#This Row],[New_Followers]]-Engagement_Summary[[#This Row],[Unfollows]]</f>
        <v>903</v>
      </c>
      <c r="I126" s="5">
        <f>Engagement_Summary[[#This Row],[Follower Growth]]/(Engagement_Summary[[#This Row],[Total_Followers]]-Engagement_Summary[[#This Row],[Follower Growth]])</f>
        <v>1.9399371400213544E-3</v>
      </c>
    </row>
    <row r="127" spans="1:9" x14ac:dyDescent="0.35">
      <c r="A127" s="1">
        <v>45663</v>
      </c>
      <c r="B127" t="s">
        <v>31</v>
      </c>
      <c r="C127">
        <v>816</v>
      </c>
      <c r="D127">
        <v>196</v>
      </c>
      <c r="E127">
        <v>95728</v>
      </c>
      <c r="F127">
        <v>8.1999999999999993</v>
      </c>
      <c r="G127">
        <v>17951</v>
      </c>
      <c r="H127">
        <f>Engagement_Summary[[#This Row],[New_Followers]]-Engagement_Summary[[#This Row],[Unfollows]]</f>
        <v>620</v>
      </c>
      <c r="I127" s="5">
        <f>Engagement_Summary[[#This Row],[Follower Growth]]/(Engagement_Summary[[#This Row],[Total_Followers]]-Engagement_Summary[[#This Row],[Follower Growth]])</f>
        <v>6.51890482398957E-3</v>
      </c>
    </row>
    <row r="128" spans="1:9" x14ac:dyDescent="0.35">
      <c r="A128" s="1">
        <v>45663</v>
      </c>
      <c r="B128" t="s">
        <v>32</v>
      </c>
      <c r="C128">
        <v>1633</v>
      </c>
      <c r="D128">
        <v>445</v>
      </c>
      <c r="E128">
        <v>371156</v>
      </c>
      <c r="F128">
        <v>2.2200000000000002</v>
      </c>
      <c r="G128">
        <v>2798</v>
      </c>
      <c r="H128">
        <f>Engagement_Summary[[#This Row],[New_Followers]]-Engagement_Summary[[#This Row],[Unfollows]]</f>
        <v>1188</v>
      </c>
      <c r="I128" s="5">
        <f>Engagement_Summary[[#This Row],[Follower Growth]]/(Engagement_Summary[[#This Row],[Total_Followers]]-Engagement_Summary[[#This Row],[Follower Growth]])</f>
        <v>3.2110885265752712E-3</v>
      </c>
    </row>
    <row r="129" spans="1:9" x14ac:dyDescent="0.35">
      <c r="A129" s="1">
        <v>45663</v>
      </c>
      <c r="B129" t="s">
        <v>33</v>
      </c>
      <c r="C129">
        <v>891</v>
      </c>
      <c r="D129">
        <v>45</v>
      </c>
      <c r="E129">
        <v>95410</v>
      </c>
      <c r="F129">
        <v>8.33</v>
      </c>
      <c r="G129">
        <v>15045</v>
      </c>
      <c r="H129">
        <f>Engagement_Summary[[#This Row],[New_Followers]]-Engagement_Summary[[#This Row],[Unfollows]]</f>
        <v>846</v>
      </c>
      <c r="I129" s="5">
        <f>Engagement_Summary[[#This Row],[Follower Growth]]/(Engagement_Summary[[#This Row],[Total_Followers]]-Engagement_Summary[[#This Row],[Follower Growth]])</f>
        <v>8.9463220675944331E-3</v>
      </c>
    </row>
    <row r="130" spans="1:9" x14ac:dyDescent="0.35">
      <c r="A130" s="1">
        <v>45670</v>
      </c>
      <c r="B130" t="s">
        <v>30</v>
      </c>
      <c r="C130">
        <v>1855</v>
      </c>
      <c r="D130">
        <v>133</v>
      </c>
      <c r="E130">
        <v>349413</v>
      </c>
      <c r="F130">
        <v>3.3</v>
      </c>
      <c r="G130">
        <v>14548</v>
      </c>
      <c r="H130">
        <f>Engagement_Summary[[#This Row],[New_Followers]]-Engagement_Summary[[#This Row],[Unfollows]]</f>
        <v>1722</v>
      </c>
      <c r="I130" s="5">
        <f>Engagement_Summary[[#This Row],[Follower Growth]]/(Engagement_Summary[[#This Row],[Total_Followers]]-Engagement_Summary[[#This Row],[Follower Growth]])</f>
        <v>4.9526734945684533E-3</v>
      </c>
    </row>
    <row r="131" spans="1:9" x14ac:dyDescent="0.35">
      <c r="A131" s="1">
        <v>45670</v>
      </c>
      <c r="B131" t="s">
        <v>31</v>
      </c>
      <c r="C131">
        <v>651</v>
      </c>
      <c r="D131">
        <v>353</v>
      </c>
      <c r="E131">
        <v>224699</v>
      </c>
      <c r="F131">
        <v>5.61</v>
      </c>
      <c r="G131">
        <v>45708</v>
      </c>
      <c r="H131">
        <f>Engagement_Summary[[#This Row],[New_Followers]]-Engagement_Summary[[#This Row],[Unfollows]]</f>
        <v>298</v>
      </c>
      <c r="I131" s="5">
        <f>Engagement_Summary[[#This Row],[Follower Growth]]/(Engagement_Summary[[#This Row],[Total_Followers]]-Engagement_Summary[[#This Row],[Follower Growth]])</f>
        <v>1.3279798218368011E-3</v>
      </c>
    </row>
    <row r="132" spans="1:9" x14ac:dyDescent="0.35">
      <c r="A132" s="1">
        <v>45670</v>
      </c>
      <c r="B132" t="s">
        <v>32</v>
      </c>
      <c r="C132">
        <v>118</v>
      </c>
      <c r="D132">
        <v>262</v>
      </c>
      <c r="E132">
        <v>487896</v>
      </c>
      <c r="F132">
        <v>2.56</v>
      </c>
      <c r="G132">
        <v>12350</v>
      </c>
      <c r="H132">
        <f>Engagement_Summary[[#This Row],[New_Followers]]-Engagement_Summary[[#This Row],[Unfollows]]</f>
        <v>-144</v>
      </c>
      <c r="I132" s="5">
        <f>Engagement_Summary[[#This Row],[Follower Growth]]/(Engagement_Summary[[#This Row],[Total_Followers]]-Engagement_Summary[[#This Row],[Follower Growth]])</f>
        <v>-2.9505778214900419E-4</v>
      </c>
    </row>
    <row r="133" spans="1:9" x14ac:dyDescent="0.35">
      <c r="A133" s="1">
        <v>45670</v>
      </c>
      <c r="B133" t="s">
        <v>33</v>
      </c>
      <c r="C133">
        <v>1331</v>
      </c>
      <c r="D133">
        <v>430</v>
      </c>
      <c r="E133">
        <v>14437</v>
      </c>
      <c r="F133">
        <v>3.29</v>
      </c>
      <c r="G133">
        <v>40868</v>
      </c>
      <c r="H133">
        <f>Engagement_Summary[[#This Row],[New_Followers]]-Engagement_Summary[[#This Row],[Unfollows]]</f>
        <v>901</v>
      </c>
      <c r="I133" s="5">
        <f>Engagement_Summary[[#This Row],[Follower Growth]]/(Engagement_Summary[[#This Row],[Total_Followers]]-Engagement_Summary[[#This Row],[Follower Growth]])</f>
        <v>6.6563238770685582E-2</v>
      </c>
    </row>
    <row r="134" spans="1:9" x14ac:dyDescent="0.35">
      <c r="A134" s="1">
        <v>45677</v>
      </c>
      <c r="B134" t="s">
        <v>30</v>
      </c>
      <c r="C134">
        <v>1748</v>
      </c>
      <c r="D134">
        <v>176</v>
      </c>
      <c r="E134">
        <v>383681</v>
      </c>
      <c r="F134">
        <v>9.24</v>
      </c>
      <c r="G134">
        <v>43122</v>
      </c>
      <c r="H134">
        <f>Engagement_Summary[[#This Row],[New_Followers]]-Engagement_Summary[[#This Row],[Unfollows]]</f>
        <v>1572</v>
      </c>
      <c r="I134" s="5">
        <f>Engagement_Summary[[#This Row],[Follower Growth]]/(Engagement_Summary[[#This Row],[Total_Followers]]-Engagement_Summary[[#This Row],[Follower Growth]])</f>
        <v>4.1140093533520543E-3</v>
      </c>
    </row>
    <row r="135" spans="1:9" x14ac:dyDescent="0.35">
      <c r="A135" s="1">
        <v>45677</v>
      </c>
      <c r="B135" t="s">
        <v>31</v>
      </c>
      <c r="C135">
        <v>663</v>
      </c>
      <c r="D135">
        <v>236</v>
      </c>
      <c r="E135">
        <v>479490</v>
      </c>
      <c r="F135">
        <v>4.51</v>
      </c>
      <c r="G135">
        <v>23853</v>
      </c>
      <c r="H135">
        <f>Engagement_Summary[[#This Row],[New_Followers]]-Engagement_Summary[[#This Row],[Unfollows]]</f>
        <v>427</v>
      </c>
      <c r="I135" s="5">
        <f>Engagement_Summary[[#This Row],[Follower Growth]]/(Engagement_Summary[[#This Row],[Total_Followers]]-Engagement_Summary[[#This Row],[Follower Growth]])</f>
        <v>8.9132327063455119E-4</v>
      </c>
    </row>
    <row r="136" spans="1:9" x14ac:dyDescent="0.35">
      <c r="A136" s="1">
        <v>45677</v>
      </c>
      <c r="B136" t="s">
        <v>32</v>
      </c>
      <c r="C136">
        <v>1040</v>
      </c>
      <c r="D136">
        <v>149</v>
      </c>
      <c r="E136">
        <v>124404</v>
      </c>
      <c r="F136">
        <v>5.23</v>
      </c>
      <c r="G136">
        <v>45380</v>
      </c>
      <c r="H136">
        <f>Engagement_Summary[[#This Row],[New_Followers]]-Engagement_Summary[[#This Row],[Unfollows]]</f>
        <v>891</v>
      </c>
      <c r="I136" s="5">
        <f>Engagement_Summary[[#This Row],[Follower Growth]]/(Engagement_Summary[[#This Row],[Total_Followers]]-Engagement_Summary[[#This Row],[Follower Growth]])</f>
        <v>7.2138155497801851E-3</v>
      </c>
    </row>
    <row r="137" spans="1:9" x14ac:dyDescent="0.35">
      <c r="A137" s="1">
        <v>45677</v>
      </c>
      <c r="B137" t="s">
        <v>33</v>
      </c>
      <c r="C137">
        <v>1166</v>
      </c>
      <c r="D137">
        <v>442</v>
      </c>
      <c r="E137">
        <v>336949</v>
      </c>
      <c r="F137">
        <v>4.68</v>
      </c>
      <c r="G137">
        <v>7705</v>
      </c>
      <c r="H137">
        <f>Engagement_Summary[[#This Row],[New_Followers]]-Engagement_Summary[[#This Row],[Unfollows]]</f>
        <v>724</v>
      </c>
      <c r="I137" s="5">
        <f>Engagement_Summary[[#This Row],[Follower Growth]]/(Engagement_Summary[[#This Row],[Total_Followers]]-Engagement_Summary[[#This Row],[Follower Growth]])</f>
        <v>2.1533199494386201E-3</v>
      </c>
    </row>
    <row r="138" spans="1:9" x14ac:dyDescent="0.35">
      <c r="A138" s="1">
        <v>45684</v>
      </c>
      <c r="B138" t="s">
        <v>30</v>
      </c>
      <c r="C138">
        <v>115</v>
      </c>
      <c r="D138">
        <v>281</v>
      </c>
      <c r="E138">
        <v>357265</v>
      </c>
      <c r="F138">
        <v>9.23</v>
      </c>
      <c r="G138">
        <v>25525</v>
      </c>
      <c r="H138">
        <f>Engagement_Summary[[#This Row],[New_Followers]]-Engagement_Summary[[#This Row],[Unfollows]]</f>
        <v>-166</v>
      </c>
      <c r="I138" s="5">
        <f>Engagement_Summary[[#This Row],[Follower Growth]]/(Engagement_Summary[[#This Row],[Total_Followers]]-Engagement_Summary[[#This Row],[Follower Growth]])</f>
        <v>-4.6442530166661538E-4</v>
      </c>
    </row>
    <row r="139" spans="1:9" x14ac:dyDescent="0.35">
      <c r="A139" s="1">
        <v>45684</v>
      </c>
      <c r="B139" t="s">
        <v>31</v>
      </c>
      <c r="C139">
        <v>1249</v>
      </c>
      <c r="D139">
        <v>351</v>
      </c>
      <c r="E139">
        <v>321307</v>
      </c>
      <c r="F139">
        <v>6.37</v>
      </c>
      <c r="G139">
        <v>20560</v>
      </c>
      <c r="H139">
        <f>Engagement_Summary[[#This Row],[New_Followers]]-Engagement_Summary[[#This Row],[Unfollows]]</f>
        <v>898</v>
      </c>
      <c r="I139" s="5">
        <f>Engagement_Summary[[#This Row],[Follower Growth]]/(Engagement_Summary[[#This Row],[Total_Followers]]-Engagement_Summary[[#This Row],[Follower Growth]])</f>
        <v>2.8026678401667868E-3</v>
      </c>
    </row>
    <row r="140" spans="1:9" x14ac:dyDescent="0.35">
      <c r="A140" s="1">
        <v>45684</v>
      </c>
      <c r="B140" t="s">
        <v>32</v>
      </c>
      <c r="C140">
        <v>1501</v>
      </c>
      <c r="D140">
        <v>75</v>
      </c>
      <c r="E140">
        <v>262569</v>
      </c>
      <c r="F140">
        <v>2.0099999999999998</v>
      </c>
      <c r="G140">
        <v>19119</v>
      </c>
      <c r="H140">
        <f>Engagement_Summary[[#This Row],[New_Followers]]-Engagement_Summary[[#This Row],[Unfollows]]</f>
        <v>1426</v>
      </c>
      <c r="I140" s="5">
        <f>Engagement_Summary[[#This Row],[Follower Growth]]/(Engagement_Summary[[#This Row],[Total_Followers]]-Engagement_Summary[[#This Row],[Follower Growth]])</f>
        <v>5.4606097042616498E-3</v>
      </c>
    </row>
    <row r="141" spans="1:9" x14ac:dyDescent="0.35">
      <c r="A141" s="1">
        <v>45684</v>
      </c>
      <c r="B141" t="s">
        <v>33</v>
      </c>
      <c r="C141">
        <v>1411</v>
      </c>
      <c r="D141">
        <v>186</v>
      </c>
      <c r="E141">
        <v>461669</v>
      </c>
      <c r="F141">
        <v>3.72</v>
      </c>
      <c r="G141">
        <v>43999</v>
      </c>
      <c r="H141">
        <f>Engagement_Summary[[#This Row],[New_Followers]]-Engagement_Summary[[#This Row],[Unfollows]]</f>
        <v>1225</v>
      </c>
      <c r="I141" s="5">
        <f>Engagement_Summary[[#This Row],[Follower Growth]]/(Engagement_Summary[[#This Row],[Total_Followers]]-Engagement_Summary[[#This Row],[Follower Growth]])</f>
        <v>2.660475540999557E-3</v>
      </c>
    </row>
    <row r="142" spans="1:9" x14ac:dyDescent="0.35">
      <c r="A142" s="1">
        <v>45691</v>
      </c>
      <c r="B142" t="s">
        <v>30</v>
      </c>
      <c r="C142">
        <v>1556</v>
      </c>
      <c r="D142">
        <v>476</v>
      </c>
      <c r="E142">
        <v>351556</v>
      </c>
      <c r="F142">
        <v>3.89</v>
      </c>
      <c r="G142">
        <v>10825</v>
      </c>
      <c r="H142">
        <f>Engagement_Summary[[#This Row],[New_Followers]]-Engagement_Summary[[#This Row],[Unfollows]]</f>
        <v>1080</v>
      </c>
      <c r="I142" s="5">
        <f>Engagement_Summary[[#This Row],[Follower Growth]]/(Engagement_Summary[[#This Row],[Total_Followers]]-Engagement_Summary[[#This Row],[Follower Growth]])</f>
        <v>3.0815234138714207E-3</v>
      </c>
    </row>
    <row r="143" spans="1:9" x14ac:dyDescent="0.35">
      <c r="A143" s="1">
        <v>45691</v>
      </c>
      <c r="B143" t="s">
        <v>31</v>
      </c>
      <c r="C143">
        <v>1159</v>
      </c>
      <c r="D143">
        <v>411</v>
      </c>
      <c r="E143">
        <v>135987</v>
      </c>
      <c r="F143">
        <v>8.6999999999999993</v>
      </c>
      <c r="G143">
        <v>40323</v>
      </c>
      <c r="H143">
        <f>Engagement_Summary[[#This Row],[New_Followers]]-Engagement_Summary[[#This Row],[Unfollows]]</f>
        <v>748</v>
      </c>
      <c r="I143" s="5">
        <f>Engagement_Summary[[#This Row],[Follower Growth]]/(Engagement_Summary[[#This Row],[Total_Followers]]-Engagement_Summary[[#This Row],[Follower Growth]])</f>
        <v>5.5309489126657251E-3</v>
      </c>
    </row>
    <row r="144" spans="1:9" x14ac:dyDescent="0.35">
      <c r="A144" s="1">
        <v>45691</v>
      </c>
      <c r="B144" t="s">
        <v>32</v>
      </c>
      <c r="C144">
        <v>927</v>
      </c>
      <c r="D144">
        <v>358</v>
      </c>
      <c r="E144">
        <v>177554</v>
      </c>
      <c r="F144">
        <v>6.95</v>
      </c>
      <c r="G144">
        <v>48270</v>
      </c>
      <c r="H144">
        <f>Engagement_Summary[[#This Row],[New_Followers]]-Engagement_Summary[[#This Row],[Unfollows]]</f>
        <v>569</v>
      </c>
      <c r="I144" s="5">
        <f>Engagement_Summary[[#This Row],[Follower Growth]]/(Engagement_Summary[[#This Row],[Total_Followers]]-Engagement_Summary[[#This Row],[Follower Growth]])</f>
        <v>3.2149617199197672E-3</v>
      </c>
    </row>
    <row r="145" spans="1:9" x14ac:dyDescent="0.35">
      <c r="A145" s="1">
        <v>45691</v>
      </c>
      <c r="B145" t="s">
        <v>33</v>
      </c>
      <c r="C145">
        <v>152</v>
      </c>
      <c r="D145">
        <v>355</v>
      </c>
      <c r="E145">
        <v>270766</v>
      </c>
      <c r="F145">
        <v>9.48</v>
      </c>
      <c r="G145">
        <v>18001</v>
      </c>
      <c r="H145">
        <f>Engagement_Summary[[#This Row],[New_Followers]]-Engagement_Summary[[#This Row],[Unfollows]]</f>
        <v>-203</v>
      </c>
      <c r="I145" s="5">
        <f>Engagement_Summary[[#This Row],[Follower Growth]]/(Engagement_Summary[[#This Row],[Total_Followers]]-Engagement_Summary[[#This Row],[Follower Growth]])</f>
        <v>-7.4916318840900623E-4</v>
      </c>
    </row>
    <row r="146" spans="1:9" x14ac:dyDescent="0.35">
      <c r="A146" s="1">
        <v>45698</v>
      </c>
      <c r="B146" t="s">
        <v>30</v>
      </c>
      <c r="C146">
        <v>1957</v>
      </c>
      <c r="D146">
        <v>234</v>
      </c>
      <c r="E146">
        <v>222126</v>
      </c>
      <c r="F146">
        <v>4.6100000000000003</v>
      </c>
      <c r="G146">
        <v>3314</v>
      </c>
      <c r="H146">
        <f>Engagement_Summary[[#This Row],[New_Followers]]-Engagement_Summary[[#This Row],[Unfollows]]</f>
        <v>1723</v>
      </c>
      <c r="I146" s="5">
        <f>Engagement_Summary[[#This Row],[Follower Growth]]/(Engagement_Summary[[#This Row],[Total_Followers]]-Engagement_Summary[[#This Row],[Follower Growth]])</f>
        <v>7.8174979469426455E-3</v>
      </c>
    </row>
    <row r="147" spans="1:9" x14ac:dyDescent="0.35">
      <c r="A147" s="1">
        <v>45698</v>
      </c>
      <c r="B147" t="s">
        <v>31</v>
      </c>
      <c r="C147">
        <v>1294</v>
      </c>
      <c r="D147">
        <v>382</v>
      </c>
      <c r="E147">
        <v>309914</v>
      </c>
      <c r="F147">
        <v>8.0299999999999994</v>
      </c>
      <c r="G147">
        <v>23489</v>
      </c>
      <c r="H147">
        <f>Engagement_Summary[[#This Row],[New_Followers]]-Engagement_Summary[[#This Row],[Unfollows]]</f>
        <v>912</v>
      </c>
      <c r="I147" s="5">
        <f>Engagement_Summary[[#This Row],[Follower Growth]]/(Engagement_Summary[[#This Row],[Total_Followers]]-Engagement_Summary[[#This Row],[Follower Growth]])</f>
        <v>2.951437207526165E-3</v>
      </c>
    </row>
    <row r="148" spans="1:9" x14ac:dyDescent="0.35">
      <c r="A148" s="1">
        <v>45698</v>
      </c>
      <c r="B148" t="s">
        <v>32</v>
      </c>
      <c r="C148">
        <v>1587</v>
      </c>
      <c r="D148">
        <v>385</v>
      </c>
      <c r="E148">
        <v>126582</v>
      </c>
      <c r="F148">
        <v>6.99</v>
      </c>
      <c r="G148">
        <v>42832</v>
      </c>
      <c r="H148">
        <f>Engagement_Summary[[#This Row],[New_Followers]]-Engagement_Summary[[#This Row],[Unfollows]]</f>
        <v>1202</v>
      </c>
      <c r="I148" s="5">
        <f>Engagement_Summary[[#This Row],[Follower Growth]]/(Engagement_Summary[[#This Row],[Total_Followers]]-Engagement_Summary[[#This Row],[Follower Growth]])</f>
        <v>9.5868559578880207E-3</v>
      </c>
    </row>
    <row r="149" spans="1:9" x14ac:dyDescent="0.35">
      <c r="A149" s="1">
        <v>45698</v>
      </c>
      <c r="B149" t="s">
        <v>33</v>
      </c>
      <c r="C149">
        <v>1707</v>
      </c>
      <c r="D149">
        <v>263</v>
      </c>
      <c r="E149">
        <v>485280</v>
      </c>
      <c r="F149">
        <v>9.0299999999999994</v>
      </c>
      <c r="G149">
        <v>24494</v>
      </c>
      <c r="H149">
        <f>Engagement_Summary[[#This Row],[New_Followers]]-Engagement_Summary[[#This Row],[Unfollows]]</f>
        <v>1444</v>
      </c>
      <c r="I149" s="5">
        <f>Engagement_Summary[[#This Row],[Follower Growth]]/(Engagement_Summary[[#This Row],[Total_Followers]]-Engagement_Summary[[#This Row],[Follower Growth]])</f>
        <v>2.9844823452574837E-3</v>
      </c>
    </row>
    <row r="150" spans="1:9" x14ac:dyDescent="0.35">
      <c r="A150" s="1">
        <v>45705</v>
      </c>
      <c r="B150" t="s">
        <v>30</v>
      </c>
      <c r="C150">
        <v>1138</v>
      </c>
      <c r="D150">
        <v>173</v>
      </c>
      <c r="E150">
        <v>453243</v>
      </c>
      <c r="F150">
        <v>2.86</v>
      </c>
      <c r="G150">
        <v>44097</v>
      </c>
      <c r="H150">
        <f>Engagement_Summary[[#This Row],[New_Followers]]-Engagement_Summary[[#This Row],[Unfollows]]</f>
        <v>965</v>
      </c>
      <c r="I150" s="5">
        <f>Engagement_Summary[[#This Row],[Follower Growth]]/(Engagement_Summary[[#This Row],[Total_Followers]]-Engagement_Summary[[#This Row],[Follower Growth]])</f>
        <v>2.1336434670711376E-3</v>
      </c>
    </row>
    <row r="151" spans="1:9" x14ac:dyDescent="0.35">
      <c r="A151" s="1">
        <v>45705</v>
      </c>
      <c r="B151" t="s">
        <v>31</v>
      </c>
      <c r="C151">
        <v>1895</v>
      </c>
      <c r="D151">
        <v>305</v>
      </c>
      <c r="E151">
        <v>104967</v>
      </c>
      <c r="F151">
        <v>3.85</v>
      </c>
      <c r="G151">
        <v>31853</v>
      </c>
      <c r="H151">
        <f>Engagement_Summary[[#This Row],[New_Followers]]-Engagement_Summary[[#This Row],[Unfollows]]</f>
        <v>1590</v>
      </c>
      <c r="I151" s="5">
        <f>Engagement_Summary[[#This Row],[Follower Growth]]/(Engagement_Summary[[#This Row],[Total_Followers]]-Engagement_Summary[[#This Row],[Follower Growth]])</f>
        <v>1.5380597231492498E-2</v>
      </c>
    </row>
    <row r="152" spans="1:9" x14ac:dyDescent="0.35">
      <c r="A152" s="1">
        <v>45705</v>
      </c>
      <c r="B152" t="s">
        <v>32</v>
      </c>
      <c r="C152">
        <v>362</v>
      </c>
      <c r="D152">
        <v>399</v>
      </c>
      <c r="E152">
        <v>145608</v>
      </c>
      <c r="F152">
        <v>7.3</v>
      </c>
      <c r="G152">
        <v>37636</v>
      </c>
      <c r="H152">
        <f>Engagement_Summary[[#This Row],[New_Followers]]-Engagement_Summary[[#This Row],[Unfollows]]</f>
        <v>-37</v>
      </c>
      <c r="I152" s="5">
        <f>Engagement_Summary[[#This Row],[Follower Growth]]/(Engagement_Summary[[#This Row],[Total_Followers]]-Engagement_Summary[[#This Row],[Follower Growth]])</f>
        <v>-2.5404236328057951E-4</v>
      </c>
    </row>
    <row r="153" spans="1:9" x14ac:dyDescent="0.35">
      <c r="A153" s="1">
        <v>45705</v>
      </c>
      <c r="B153" t="s">
        <v>33</v>
      </c>
      <c r="C153">
        <v>1662</v>
      </c>
      <c r="D153">
        <v>487</v>
      </c>
      <c r="E153">
        <v>105980</v>
      </c>
      <c r="F153">
        <v>9.08</v>
      </c>
      <c r="G153">
        <v>22996</v>
      </c>
      <c r="H153">
        <f>Engagement_Summary[[#This Row],[New_Followers]]-Engagement_Summary[[#This Row],[Unfollows]]</f>
        <v>1175</v>
      </c>
      <c r="I153" s="5">
        <f>Engagement_Summary[[#This Row],[Follower Growth]]/(Engagement_Summary[[#This Row],[Total_Followers]]-Engagement_Summary[[#This Row],[Follower Growth]])</f>
        <v>1.1211297170936501E-2</v>
      </c>
    </row>
    <row r="154" spans="1:9" x14ac:dyDescent="0.35">
      <c r="A154" s="1">
        <v>45712</v>
      </c>
      <c r="B154" t="s">
        <v>30</v>
      </c>
      <c r="C154">
        <v>1440</v>
      </c>
      <c r="D154">
        <v>65</v>
      </c>
      <c r="E154">
        <v>126524</v>
      </c>
      <c r="F154">
        <v>4.34</v>
      </c>
      <c r="G154">
        <v>49772</v>
      </c>
      <c r="H154">
        <f>Engagement_Summary[[#This Row],[New_Followers]]-Engagement_Summary[[#This Row],[Unfollows]]</f>
        <v>1375</v>
      </c>
      <c r="I154" s="5">
        <f>Engagement_Summary[[#This Row],[Follower Growth]]/(Engagement_Summary[[#This Row],[Total_Followers]]-Engagement_Summary[[#This Row],[Follower Growth]])</f>
        <v>1.0986903610895812E-2</v>
      </c>
    </row>
    <row r="155" spans="1:9" x14ac:dyDescent="0.35">
      <c r="A155" s="1">
        <v>45712</v>
      </c>
      <c r="B155" t="s">
        <v>31</v>
      </c>
      <c r="C155">
        <v>1884</v>
      </c>
      <c r="D155">
        <v>177</v>
      </c>
      <c r="E155">
        <v>230448</v>
      </c>
      <c r="F155">
        <v>7.8</v>
      </c>
      <c r="G155">
        <v>22713</v>
      </c>
      <c r="H155">
        <f>Engagement_Summary[[#This Row],[New_Followers]]-Engagement_Summary[[#This Row],[Unfollows]]</f>
        <v>1707</v>
      </c>
      <c r="I155" s="5">
        <f>Engagement_Summary[[#This Row],[Follower Growth]]/(Engagement_Summary[[#This Row],[Total_Followers]]-Engagement_Summary[[#This Row],[Follower Growth]])</f>
        <v>7.4625886920141118E-3</v>
      </c>
    </row>
    <row r="156" spans="1:9" x14ac:dyDescent="0.35">
      <c r="A156" s="1">
        <v>45712</v>
      </c>
      <c r="B156" t="s">
        <v>32</v>
      </c>
      <c r="C156">
        <v>861</v>
      </c>
      <c r="D156">
        <v>153</v>
      </c>
      <c r="E156">
        <v>317007</v>
      </c>
      <c r="F156">
        <v>3.85</v>
      </c>
      <c r="G156">
        <v>8718</v>
      </c>
      <c r="H156">
        <f>Engagement_Summary[[#This Row],[New_Followers]]-Engagement_Summary[[#This Row],[Unfollows]]</f>
        <v>708</v>
      </c>
      <c r="I156" s="5">
        <f>Engagement_Summary[[#This Row],[Follower Growth]]/(Engagement_Summary[[#This Row],[Total_Followers]]-Engagement_Summary[[#This Row],[Follower Growth]])</f>
        <v>2.2383883603805262E-3</v>
      </c>
    </row>
    <row r="157" spans="1:9" x14ac:dyDescent="0.35">
      <c r="A157" s="1">
        <v>45712</v>
      </c>
      <c r="B157" t="s">
        <v>33</v>
      </c>
      <c r="C157">
        <v>1063</v>
      </c>
      <c r="D157">
        <v>47</v>
      </c>
      <c r="E157">
        <v>464239</v>
      </c>
      <c r="F157">
        <v>6.58</v>
      </c>
      <c r="G157">
        <v>39031</v>
      </c>
      <c r="H157">
        <f>Engagement_Summary[[#This Row],[New_Followers]]-Engagement_Summary[[#This Row],[Unfollows]]</f>
        <v>1016</v>
      </c>
      <c r="I157" s="5">
        <f>Engagement_Summary[[#This Row],[Follower Growth]]/(Engagement_Summary[[#This Row],[Total_Followers]]-Engagement_Summary[[#This Row],[Follower Growth]])</f>
        <v>2.1933280515000334E-3</v>
      </c>
    </row>
    <row r="158" spans="1:9" x14ac:dyDescent="0.35">
      <c r="A158" s="1">
        <v>45719</v>
      </c>
      <c r="B158" t="s">
        <v>30</v>
      </c>
      <c r="C158">
        <v>1371</v>
      </c>
      <c r="D158">
        <v>56</v>
      </c>
      <c r="E158">
        <v>257579</v>
      </c>
      <c r="F158">
        <v>8.6199999999999992</v>
      </c>
      <c r="G158">
        <v>33799</v>
      </c>
      <c r="H158">
        <f>Engagement_Summary[[#This Row],[New_Followers]]-Engagement_Summary[[#This Row],[Unfollows]]</f>
        <v>1315</v>
      </c>
      <c r="I158" s="5">
        <f>Engagement_Summary[[#This Row],[Follower Growth]]/(Engagement_Summary[[#This Row],[Total_Followers]]-Engagement_Summary[[#This Row],[Follower Growth]])</f>
        <v>5.1314269659413726E-3</v>
      </c>
    </row>
    <row r="159" spans="1:9" x14ac:dyDescent="0.35">
      <c r="A159" s="1">
        <v>45719</v>
      </c>
      <c r="B159" t="s">
        <v>31</v>
      </c>
      <c r="C159">
        <v>345</v>
      </c>
      <c r="D159">
        <v>464</v>
      </c>
      <c r="E159">
        <v>366881</v>
      </c>
      <c r="F159">
        <v>4.55</v>
      </c>
      <c r="G159">
        <v>20553</v>
      </c>
      <c r="H159">
        <f>Engagement_Summary[[#This Row],[New_Followers]]-Engagement_Summary[[#This Row],[Unfollows]]</f>
        <v>-119</v>
      </c>
      <c r="I159" s="5">
        <f>Engagement_Summary[[#This Row],[Follower Growth]]/(Engagement_Summary[[#This Row],[Total_Followers]]-Engagement_Summary[[#This Row],[Follower Growth]])</f>
        <v>-3.242506811989101E-4</v>
      </c>
    </row>
    <row r="160" spans="1:9" x14ac:dyDescent="0.35">
      <c r="A160" s="1">
        <v>45719</v>
      </c>
      <c r="B160" t="s">
        <v>32</v>
      </c>
      <c r="C160">
        <v>946</v>
      </c>
      <c r="D160">
        <v>47</v>
      </c>
      <c r="E160">
        <v>466575</v>
      </c>
      <c r="F160">
        <v>8.33</v>
      </c>
      <c r="G160">
        <v>10002</v>
      </c>
      <c r="H160">
        <f>Engagement_Summary[[#This Row],[New_Followers]]-Engagement_Summary[[#This Row],[Unfollows]]</f>
        <v>899</v>
      </c>
      <c r="I160" s="5">
        <f>Engagement_Summary[[#This Row],[Follower Growth]]/(Engagement_Summary[[#This Row],[Total_Followers]]-Engagement_Summary[[#This Row],[Follower Growth]])</f>
        <v>1.9305268040440133E-3</v>
      </c>
    </row>
    <row r="161" spans="1:9" x14ac:dyDescent="0.35">
      <c r="A161" s="1">
        <v>45719</v>
      </c>
      <c r="B161" t="s">
        <v>33</v>
      </c>
      <c r="C161">
        <v>510</v>
      </c>
      <c r="D161">
        <v>195</v>
      </c>
      <c r="E161">
        <v>224534</v>
      </c>
      <c r="F161">
        <v>9.4</v>
      </c>
      <c r="G161">
        <v>30987</v>
      </c>
      <c r="H161">
        <f>Engagement_Summary[[#This Row],[New_Followers]]-Engagement_Summary[[#This Row],[Unfollows]]</f>
        <v>315</v>
      </c>
      <c r="I161" s="5">
        <f>Engagement_Summary[[#This Row],[Follower Growth]]/(Engagement_Summary[[#This Row],[Total_Followers]]-Engagement_Summary[[#This Row],[Follower Growth]])</f>
        <v>1.4048764823676851E-3</v>
      </c>
    </row>
    <row r="162" spans="1:9" x14ac:dyDescent="0.35">
      <c r="A162" s="1">
        <v>45726</v>
      </c>
      <c r="B162" t="s">
        <v>30</v>
      </c>
      <c r="C162">
        <v>393</v>
      </c>
      <c r="D162">
        <v>181</v>
      </c>
      <c r="E162">
        <v>462142</v>
      </c>
      <c r="F162">
        <v>7.23</v>
      </c>
      <c r="G162">
        <v>6296</v>
      </c>
      <c r="H162">
        <f>Engagement_Summary[[#This Row],[New_Followers]]-Engagement_Summary[[#This Row],[Unfollows]]</f>
        <v>212</v>
      </c>
      <c r="I162" s="5">
        <f>Engagement_Summary[[#This Row],[Follower Growth]]/(Engagement_Summary[[#This Row],[Total_Followers]]-Engagement_Summary[[#This Row],[Follower Growth]])</f>
        <v>4.5894399584352609E-4</v>
      </c>
    </row>
    <row r="163" spans="1:9" x14ac:dyDescent="0.35">
      <c r="A163" s="1">
        <v>45726</v>
      </c>
      <c r="B163" t="s">
        <v>31</v>
      </c>
      <c r="C163">
        <v>1098</v>
      </c>
      <c r="D163">
        <v>190</v>
      </c>
      <c r="E163">
        <v>340842</v>
      </c>
      <c r="F163">
        <v>9.39</v>
      </c>
      <c r="G163">
        <v>21539</v>
      </c>
      <c r="H163">
        <f>Engagement_Summary[[#This Row],[New_Followers]]-Engagement_Summary[[#This Row],[Unfollows]]</f>
        <v>908</v>
      </c>
      <c r="I163" s="5">
        <f>Engagement_Summary[[#This Row],[Follower Growth]]/(Engagement_Summary[[#This Row],[Total_Followers]]-Engagement_Summary[[#This Row],[Follower Growth]])</f>
        <v>2.6711067442503544E-3</v>
      </c>
    </row>
    <row r="164" spans="1:9" x14ac:dyDescent="0.35">
      <c r="A164" s="1">
        <v>45726</v>
      </c>
      <c r="B164" t="s">
        <v>32</v>
      </c>
      <c r="C164">
        <v>1399</v>
      </c>
      <c r="D164">
        <v>49</v>
      </c>
      <c r="E164">
        <v>12471</v>
      </c>
      <c r="F164">
        <v>5.12</v>
      </c>
      <c r="G164">
        <v>14722</v>
      </c>
      <c r="H164">
        <f>Engagement_Summary[[#This Row],[New_Followers]]-Engagement_Summary[[#This Row],[Unfollows]]</f>
        <v>1350</v>
      </c>
      <c r="I164" s="5">
        <f>Engagement_Summary[[#This Row],[Follower Growth]]/(Engagement_Summary[[#This Row],[Total_Followers]]-Engagement_Summary[[#This Row],[Follower Growth]])</f>
        <v>0.12139196115457243</v>
      </c>
    </row>
    <row r="165" spans="1:9" x14ac:dyDescent="0.35">
      <c r="A165" s="1">
        <v>45726</v>
      </c>
      <c r="B165" t="s">
        <v>33</v>
      </c>
      <c r="C165">
        <v>1658</v>
      </c>
      <c r="D165">
        <v>416</v>
      </c>
      <c r="E165">
        <v>98397</v>
      </c>
      <c r="F165">
        <v>6.11</v>
      </c>
      <c r="G165">
        <v>11383</v>
      </c>
      <c r="H165">
        <f>Engagement_Summary[[#This Row],[New_Followers]]-Engagement_Summary[[#This Row],[Unfollows]]</f>
        <v>1242</v>
      </c>
      <c r="I165" s="5">
        <f>Engagement_Summary[[#This Row],[Follower Growth]]/(Engagement_Summary[[#This Row],[Total_Followers]]-Engagement_Summary[[#This Row],[Follower Growth]])</f>
        <v>1.2783696155627605E-2</v>
      </c>
    </row>
    <row r="166" spans="1:9" x14ac:dyDescent="0.35">
      <c r="A166" s="1">
        <v>45733</v>
      </c>
      <c r="B166" t="s">
        <v>30</v>
      </c>
      <c r="C166">
        <v>1102</v>
      </c>
      <c r="D166">
        <v>422</v>
      </c>
      <c r="E166">
        <v>410330</v>
      </c>
      <c r="F166">
        <v>7.74</v>
      </c>
      <c r="G166">
        <v>9480</v>
      </c>
      <c r="H166">
        <f>Engagement_Summary[[#This Row],[New_Followers]]-Engagement_Summary[[#This Row],[Unfollows]]</f>
        <v>680</v>
      </c>
      <c r="I166" s="5">
        <f>Engagement_Summary[[#This Row],[Follower Growth]]/(Engagement_Summary[[#This Row],[Total_Followers]]-Engagement_Summary[[#This Row],[Follower Growth]])</f>
        <v>1.6599536189430002E-3</v>
      </c>
    </row>
    <row r="167" spans="1:9" x14ac:dyDescent="0.35">
      <c r="A167" s="1">
        <v>45733</v>
      </c>
      <c r="B167" t="s">
        <v>31</v>
      </c>
      <c r="C167">
        <v>1358</v>
      </c>
      <c r="D167">
        <v>242</v>
      </c>
      <c r="E167">
        <v>342129</v>
      </c>
      <c r="F167">
        <v>4.9400000000000004</v>
      </c>
      <c r="G167">
        <v>29116</v>
      </c>
      <c r="H167">
        <f>Engagement_Summary[[#This Row],[New_Followers]]-Engagement_Summary[[#This Row],[Unfollows]]</f>
        <v>1116</v>
      </c>
      <c r="I167" s="5">
        <f>Engagement_Summary[[#This Row],[Follower Growth]]/(Engagement_Summary[[#This Row],[Total_Followers]]-Engagement_Summary[[#This Row],[Follower Growth]])</f>
        <v>3.2726025107547218E-3</v>
      </c>
    </row>
    <row r="168" spans="1:9" x14ac:dyDescent="0.35">
      <c r="A168" s="1">
        <v>45733</v>
      </c>
      <c r="B168" t="s">
        <v>32</v>
      </c>
      <c r="C168">
        <v>1077</v>
      </c>
      <c r="D168">
        <v>216</v>
      </c>
      <c r="E168">
        <v>12447</v>
      </c>
      <c r="F168">
        <v>1.8</v>
      </c>
      <c r="G168">
        <v>14068</v>
      </c>
      <c r="H168">
        <f>Engagement_Summary[[#This Row],[New_Followers]]-Engagement_Summary[[#This Row],[Unfollows]]</f>
        <v>861</v>
      </c>
      <c r="I168" s="5">
        <f>Engagement_Summary[[#This Row],[Follower Growth]]/(Engagement_Summary[[#This Row],[Total_Followers]]-Engagement_Summary[[#This Row],[Follower Growth]])</f>
        <v>7.4313827032625582E-2</v>
      </c>
    </row>
    <row r="169" spans="1:9" x14ac:dyDescent="0.35">
      <c r="A169" s="1">
        <v>45733</v>
      </c>
      <c r="B169" t="s">
        <v>33</v>
      </c>
      <c r="C169">
        <v>1596</v>
      </c>
      <c r="D169">
        <v>211</v>
      </c>
      <c r="E169">
        <v>17380</v>
      </c>
      <c r="F169">
        <v>8.64</v>
      </c>
      <c r="G169">
        <v>35801</v>
      </c>
      <c r="H169">
        <f>Engagement_Summary[[#This Row],[New_Followers]]-Engagement_Summary[[#This Row],[Unfollows]]</f>
        <v>1385</v>
      </c>
      <c r="I169" s="5">
        <f>Engagement_Summary[[#This Row],[Follower Growth]]/(Engagement_Summary[[#This Row],[Total_Followers]]-Engagement_Summary[[#This Row],[Follower Growth]])</f>
        <v>8.6589559237261637E-2</v>
      </c>
    </row>
    <row r="170" spans="1:9" x14ac:dyDescent="0.35">
      <c r="A170" s="1">
        <v>45740</v>
      </c>
      <c r="B170" t="s">
        <v>30</v>
      </c>
      <c r="C170">
        <v>490</v>
      </c>
      <c r="D170">
        <v>29</v>
      </c>
      <c r="E170">
        <v>364810</v>
      </c>
      <c r="F170">
        <v>1.53</v>
      </c>
      <c r="G170">
        <v>49077</v>
      </c>
      <c r="H170">
        <f>Engagement_Summary[[#This Row],[New_Followers]]-Engagement_Summary[[#This Row],[Unfollows]]</f>
        <v>461</v>
      </c>
      <c r="I170" s="5">
        <f>Engagement_Summary[[#This Row],[Follower Growth]]/(Engagement_Summary[[#This Row],[Total_Followers]]-Engagement_Summary[[#This Row],[Follower Growth]])</f>
        <v>1.2652703863603304E-3</v>
      </c>
    </row>
    <row r="171" spans="1:9" x14ac:dyDescent="0.35">
      <c r="A171" s="1">
        <v>45740</v>
      </c>
      <c r="B171" t="s">
        <v>31</v>
      </c>
      <c r="C171">
        <v>609</v>
      </c>
      <c r="D171">
        <v>135</v>
      </c>
      <c r="E171">
        <v>373606</v>
      </c>
      <c r="F171">
        <v>8.52</v>
      </c>
      <c r="G171">
        <v>21453</v>
      </c>
      <c r="H171">
        <f>Engagement_Summary[[#This Row],[New_Followers]]-Engagement_Summary[[#This Row],[Unfollows]]</f>
        <v>474</v>
      </c>
      <c r="I171" s="5">
        <f>Engagement_Summary[[#This Row],[Follower Growth]]/(Engagement_Summary[[#This Row],[Total_Followers]]-Engagement_Summary[[#This Row],[Follower Growth]])</f>
        <v>1.2703279268462635E-3</v>
      </c>
    </row>
    <row r="172" spans="1:9" x14ac:dyDescent="0.35">
      <c r="A172" s="1">
        <v>45740</v>
      </c>
      <c r="B172" t="s">
        <v>32</v>
      </c>
      <c r="C172">
        <v>364</v>
      </c>
      <c r="D172">
        <v>72</v>
      </c>
      <c r="E172">
        <v>211090</v>
      </c>
      <c r="F172">
        <v>5.53</v>
      </c>
      <c r="G172">
        <v>21061</v>
      </c>
      <c r="H172">
        <f>Engagement_Summary[[#This Row],[New_Followers]]-Engagement_Summary[[#This Row],[Unfollows]]</f>
        <v>292</v>
      </c>
      <c r="I172" s="5">
        <f>Engagement_Summary[[#This Row],[Follower Growth]]/(Engagement_Summary[[#This Row],[Total_Followers]]-Engagement_Summary[[#This Row],[Follower Growth]])</f>
        <v>1.3852123834191975E-3</v>
      </c>
    </row>
    <row r="173" spans="1:9" x14ac:dyDescent="0.35">
      <c r="A173" s="1">
        <v>45740</v>
      </c>
      <c r="B173" t="s">
        <v>33</v>
      </c>
      <c r="C173">
        <v>442</v>
      </c>
      <c r="D173">
        <v>53</v>
      </c>
      <c r="E173">
        <v>441931</v>
      </c>
      <c r="F173">
        <v>1.87</v>
      </c>
      <c r="G173">
        <v>20059</v>
      </c>
      <c r="H173">
        <f>Engagement_Summary[[#This Row],[New_Followers]]-Engagement_Summary[[#This Row],[Unfollows]]</f>
        <v>389</v>
      </c>
      <c r="I173" s="5">
        <f>Engagement_Summary[[#This Row],[Follower Growth]]/(Engagement_Summary[[#This Row],[Total_Followers]]-Engagement_Summary[[#This Row],[Follower Growth]])</f>
        <v>8.8100339265573832E-4</v>
      </c>
    </row>
    <row r="174" spans="1:9" x14ac:dyDescent="0.35">
      <c r="A174" s="1">
        <v>45747</v>
      </c>
      <c r="B174" t="s">
        <v>30</v>
      </c>
      <c r="C174">
        <v>1033</v>
      </c>
      <c r="D174">
        <v>392</v>
      </c>
      <c r="E174">
        <v>282780</v>
      </c>
      <c r="F174">
        <v>6.27</v>
      </c>
      <c r="G174">
        <v>23140</v>
      </c>
      <c r="H174">
        <f>Engagement_Summary[[#This Row],[New_Followers]]-Engagement_Summary[[#This Row],[Unfollows]]</f>
        <v>641</v>
      </c>
      <c r="I174" s="5">
        <f>Engagement_Summary[[#This Row],[Follower Growth]]/(Engagement_Summary[[#This Row],[Total_Followers]]-Engagement_Summary[[#This Row],[Follower Growth]])</f>
        <v>2.2719297934705941E-3</v>
      </c>
    </row>
    <row r="175" spans="1:9" x14ac:dyDescent="0.35">
      <c r="A175" s="1">
        <v>45747</v>
      </c>
      <c r="B175" t="s">
        <v>31</v>
      </c>
      <c r="C175">
        <v>988</v>
      </c>
      <c r="D175">
        <v>474</v>
      </c>
      <c r="E175">
        <v>370070</v>
      </c>
      <c r="F175">
        <v>9.4600000000000009</v>
      </c>
      <c r="G175">
        <v>23461</v>
      </c>
      <c r="H175">
        <f>Engagement_Summary[[#This Row],[New_Followers]]-Engagement_Summary[[#This Row],[Unfollows]]</f>
        <v>514</v>
      </c>
      <c r="I175" s="5">
        <f>Engagement_Summary[[#This Row],[Follower Growth]]/(Engagement_Summary[[#This Row],[Total_Followers]]-Engagement_Summary[[#This Row],[Follower Growth]])</f>
        <v>1.3908582190520517E-3</v>
      </c>
    </row>
    <row r="176" spans="1:9" x14ac:dyDescent="0.35">
      <c r="A176" s="1">
        <v>45747</v>
      </c>
      <c r="B176" t="s">
        <v>32</v>
      </c>
      <c r="C176">
        <v>1946</v>
      </c>
      <c r="D176">
        <v>270</v>
      </c>
      <c r="E176">
        <v>198350</v>
      </c>
      <c r="F176">
        <v>7.5</v>
      </c>
      <c r="G176">
        <v>11805</v>
      </c>
      <c r="H176">
        <f>Engagement_Summary[[#This Row],[New_Followers]]-Engagement_Summary[[#This Row],[Unfollows]]</f>
        <v>1676</v>
      </c>
      <c r="I176" s="5">
        <f>Engagement_Summary[[#This Row],[Follower Growth]]/(Engagement_Summary[[#This Row],[Total_Followers]]-Engagement_Summary[[#This Row],[Follower Growth]])</f>
        <v>8.5217161393981913E-3</v>
      </c>
    </row>
    <row r="177" spans="1:9" x14ac:dyDescent="0.35">
      <c r="A177" s="1">
        <v>45747</v>
      </c>
      <c r="B177" t="s">
        <v>33</v>
      </c>
      <c r="C177">
        <v>1957</v>
      </c>
      <c r="D177">
        <v>490</v>
      </c>
      <c r="E177">
        <v>435726</v>
      </c>
      <c r="F177">
        <v>4.7300000000000004</v>
      </c>
      <c r="G177">
        <v>15969</v>
      </c>
      <c r="H177">
        <f>Engagement_Summary[[#This Row],[New_Followers]]-Engagement_Summary[[#This Row],[Unfollows]]</f>
        <v>1467</v>
      </c>
      <c r="I177" s="5">
        <f>Engagement_Summary[[#This Row],[Follower Growth]]/(Engagement_Summary[[#This Row],[Total_Followers]]-Engagement_Summary[[#This Row],[Follower Growth]])</f>
        <v>3.3781683281175518E-3</v>
      </c>
    </row>
    <row r="178" spans="1:9" x14ac:dyDescent="0.35">
      <c r="A178" s="1">
        <v>45754</v>
      </c>
      <c r="B178" t="s">
        <v>30</v>
      </c>
      <c r="C178">
        <v>559</v>
      </c>
      <c r="D178">
        <v>392</v>
      </c>
      <c r="E178">
        <v>78789</v>
      </c>
      <c r="F178">
        <v>3.19</v>
      </c>
      <c r="G178">
        <v>2436</v>
      </c>
      <c r="H178">
        <f>Engagement_Summary[[#This Row],[New_Followers]]-Engagement_Summary[[#This Row],[Unfollows]]</f>
        <v>167</v>
      </c>
      <c r="I178" s="5">
        <f>Engagement_Summary[[#This Row],[Follower Growth]]/(Engagement_Summary[[#This Row],[Total_Followers]]-Engagement_Summary[[#This Row],[Follower Growth]])</f>
        <v>2.1240874055607844E-3</v>
      </c>
    </row>
    <row r="179" spans="1:9" x14ac:dyDescent="0.35">
      <c r="A179" s="1">
        <v>45754</v>
      </c>
      <c r="B179" t="s">
        <v>31</v>
      </c>
      <c r="C179">
        <v>1307</v>
      </c>
      <c r="D179">
        <v>278</v>
      </c>
      <c r="E179">
        <v>98596</v>
      </c>
      <c r="F179">
        <v>2.4900000000000002</v>
      </c>
      <c r="G179">
        <v>47603</v>
      </c>
      <c r="H179">
        <f>Engagement_Summary[[#This Row],[New_Followers]]-Engagement_Summary[[#This Row],[Unfollows]]</f>
        <v>1029</v>
      </c>
      <c r="I179" s="5">
        <f>Engagement_Summary[[#This Row],[Follower Growth]]/(Engagement_Summary[[#This Row],[Total_Followers]]-Engagement_Summary[[#This Row],[Follower Growth]])</f>
        <v>1.0546598747527339E-2</v>
      </c>
    </row>
    <row r="180" spans="1:9" x14ac:dyDescent="0.35">
      <c r="A180" s="1">
        <v>45754</v>
      </c>
      <c r="B180" t="s">
        <v>32</v>
      </c>
      <c r="C180">
        <v>1432</v>
      </c>
      <c r="D180">
        <v>425</v>
      </c>
      <c r="E180">
        <v>29589</v>
      </c>
      <c r="F180">
        <v>4.5</v>
      </c>
      <c r="G180">
        <v>42964</v>
      </c>
      <c r="H180">
        <f>Engagement_Summary[[#This Row],[New_Followers]]-Engagement_Summary[[#This Row],[Unfollows]]</f>
        <v>1007</v>
      </c>
      <c r="I180" s="5">
        <f>Engagement_Summary[[#This Row],[Follower Growth]]/(Engagement_Summary[[#This Row],[Total_Followers]]-Engagement_Summary[[#This Row],[Follower Growth]])</f>
        <v>3.5231964173255893E-2</v>
      </c>
    </row>
    <row r="181" spans="1:9" x14ac:dyDescent="0.35">
      <c r="A181" s="1">
        <v>45754</v>
      </c>
      <c r="B181" t="s">
        <v>33</v>
      </c>
      <c r="C181">
        <v>623</v>
      </c>
      <c r="D181">
        <v>414</v>
      </c>
      <c r="E181">
        <v>290354</v>
      </c>
      <c r="F181">
        <v>6.49</v>
      </c>
      <c r="G181">
        <v>39923</v>
      </c>
      <c r="H181">
        <f>Engagement_Summary[[#This Row],[New_Followers]]-Engagement_Summary[[#This Row],[Unfollows]]</f>
        <v>209</v>
      </c>
      <c r="I181" s="5">
        <f>Engagement_Summary[[#This Row],[Follower Growth]]/(Engagement_Summary[[#This Row],[Total_Followers]]-Engagement_Summary[[#This Row],[Follower Growth]])</f>
        <v>7.2032949042720017E-4</v>
      </c>
    </row>
    <row r="182" spans="1:9" x14ac:dyDescent="0.35">
      <c r="A182" s="1">
        <v>45761</v>
      </c>
      <c r="B182" t="s">
        <v>30</v>
      </c>
      <c r="C182">
        <v>198</v>
      </c>
      <c r="D182">
        <v>358</v>
      </c>
      <c r="E182">
        <v>66682</v>
      </c>
      <c r="F182">
        <v>6.73</v>
      </c>
      <c r="G182">
        <v>2293</v>
      </c>
      <c r="H182">
        <f>Engagement_Summary[[#This Row],[New_Followers]]-Engagement_Summary[[#This Row],[Unfollows]]</f>
        <v>-160</v>
      </c>
      <c r="I182" s="5">
        <f>Engagement_Summary[[#This Row],[Follower Growth]]/(Engagement_Summary[[#This Row],[Total_Followers]]-Engagement_Summary[[#This Row],[Follower Growth]])</f>
        <v>-2.3937045570150504E-3</v>
      </c>
    </row>
    <row r="183" spans="1:9" x14ac:dyDescent="0.35">
      <c r="A183" s="1">
        <v>45761</v>
      </c>
      <c r="B183" t="s">
        <v>31</v>
      </c>
      <c r="C183">
        <v>198</v>
      </c>
      <c r="D183">
        <v>373</v>
      </c>
      <c r="E183">
        <v>70707</v>
      </c>
      <c r="F183">
        <v>4.83</v>
      </c>
      <c r="G183">
        <v>25920</v>
      </c>
      <c r="H183">
        <f>Engagement_Summary[[#This Row],[New_Followers]]-Engagement_Summary[[#This Row],[Unfollows]]</f>
        <v>-175</v>
      </c>
      <c r="I183" s="5">
        <f>Engagement_Summary[[#This Row],[Follower Growth]]/(Engagement_Summary[[#This Row],[Total_Followers]]-Engagement_Summary[[#This Row],[Follower Growth]])</f>
        <v>-2.4688919612877742E-3</v>
      </c>
    </row>
    <row r="184" spans="1:9" x14ac:dyDescent="0.35">
      <c r="A184" s="1">
        <v>45761</v>
      </c>
      <c r="B184" t="s">
        <v>32</v>
      </c>
      <c r="C184">
        <v>353</v>
      </c>
      <c r="D184">
        <v>300</v>
      </c>
      <c r="E184">
        <v>142507</v>
      </c>
      <c r="F184">
        <v>5.3</v>
      </c>
      <c r="G184">
        <v>11035</v>
      </c>
      <c r="H184">
        <f>Engagement_Summary[[#This Row],[New_Followers]]-Engagement_Summary[[#This Row],[Unfollows]]</f>
        <v>53</v>
      </c>
      <c r="I184" s="5">
        <f>Engagement_Summary[[#This Row],[Follower Growth]]/(Engagement_Summary[[#This Row],[Total_Followers]]-Engagement_Summary[[#This Row],[Follower Growth]])</f>
        <v>3.7204992488803405E-4</v>
      </c>
    </row>
    <row r="185" spans="1:9" x14ac:dyDescent="0.35">
      <c r="A185" s="1">
        <v>45761</v>
      </c>
      <c r="B185" t="s">
        <v>33</v>
      </c>
      <c r="C185">
        <v>520</v>
      </c>
      <c r="D185">
        <v>375</v>
      </c>
      <c r="E185">
        <v>369525</v>
      </c>
      <c r="F185">
        <v>6.54</v>
      </c>
      <c r="G185">
        <v>20733</v>
      </c>
      <c r="H185">
        <f>Engagement_Summary[[#This Row],[New_Followers]]-Engagement_Summary[[#This Row],[Unfollows]]</f>
        <v>145</v>
      </c>
      <c r="I185" s="5">
        <f>Engagement_Summary[[#This Row],[Follower Growth]]/(Engagement_Summary[[#This Row],[Total_Followers]]-Engagement_Summary[[#This Row],[Follower Growth]])</f>
        <v>3.9254967783854025E-4</v>
      </c>
    </row>
    <row r="186" spans="1:9" x14ac:dyDescent="0.35">
      <c r="A186" s="1">
        <v>45768</v>
      </c>
      <c r="B186" t="s">
        <v>30</v>
      </c>
      <c r="C186">
        <v>961</v>
      </c>
      <c r="D186">
        <v>358</v>
      </c>
      <c r="E186">
        <v>62942</v>
      </c>
      <c r="F186">
        <v>6.8</v>
      </c>
      <c r="G186">
        <v>18693</v>
      </c>
      <c r="H186">
        <f>Engagement_Summary[[#This Row],[New_Followers]]-Engagement_Summary[[#This Row],[Unfollows]]</f>
        <v>603</v>
      </c>
      <c r="I186" s="5">
        <f>Engagement_Summary[[#This Row],[Follower Growth]]/(Engagement_Summary[[#This Row],[Total_Followers]]-Engagement_Summary[[#This Row],[Follower Growth]])</f>
        <v>9.6729174353133666E-3</v>
      </c>
    </row>
    <row r="187" spans="1:9" x14ac:dyDescent="0.35">
      <c r="A187" s="1">
        <v>45768</v>
      </c>
      <c r="B187" t="s">
        <v>31</v>
      </c>
      <c r="C187">
        <v>1375</v>
      </c>
      <c r="D187">
        <v>330</v>
      </c>
      <c r="E187">
        <v>377382</v>
      </c>
      <c r="F187">
        <v>2.6</v>
      </c>
      <c r="G187">
        <v>7875</v>
      </c>
      <c r="H187">
        <f>Engagement_Summary[[#This Row],[New_Followers]]-Engagement_Summary[[#This Row],[Unfollows]]</f>
        <v>1045</v>
      </c>
      <c r="I187" s="5">
        <f>Engagement_Summary[[#This Row],[Follower Growth]]/(Engagement_Summary[[#This Row],[Total_Followers]]-Engagement_Summary[[#This Row],[Follower Growth]])</f>
        <v>2.7767665682619565E-3</v>
      </c>
    </row>
    <row r="188" spans="1:9" x14ac:dyDescent="0.35">
      <c r="A188" s="1">
        <v>45768</v>
      </c>
      <c r="B188" t="s">
        <v>32</v>
      </c>
      <c r="C188">
        <v>1147</v>
      </c>
      <c r="D188">
        <v>388</v>
      </c>
      <c r="E188">
        <v>333851</v>
      </c>
      <c r="F188">
        <v>2.44</v>
      </c>
      <c r="G188">
        <v>8471</v>
      </c>
      <c r="H188">
        <f>Engagement_Summary[[#This Row],[New_Followers]]-Engagement_Summary[[#This Row],[Unfollows]]</f>
        <v>759</v>
      </c>
      <c r="I188" s="5">
        <f>Engagement_Summary[[#This Row],[Follower Growth]]/(Engagement_Summary[[#This Row],[Total_Followers]]-Engagement_Summary[[#This Row],[Follower Growth]])</f>
        <v>2.2786497424135072E-3</v>
      </c>
    </row>
    <row r="189" spans="1:9" x14ac:dyDescent="0.35">
      <c r="A189" s="1">
        <v>45768</v>
      </c>
      <c r="B189" t="s">
        <v>33</v>
      </c>
      <c r="C189">
        <v>1707</v>
      </c>
      <c r="D189">
        <v>74</v>
      </c>
      <c r="E189">
        <v>270958</v>
      </c>
      <c r="F189">
        <v>3.09</v>
      </c>
      <c r="G189">
        <v>14090</v>
      </c>
      <c r="H189">
        <f>Engagement_Summary[[#This Row],[New_Followers]]-Engagement_Summary[[#This Row],[Unfollows]]</f>
        <v>1633</v>
      </c>
      <c r="I189" s="5">
        <f>Engagement_Summary[[#This Row],[Follower Growth]]/(Engagement_Summary[[#This Row],[Total_Followers]]-Engagement_Summary[[#This Row],[Follower Growth]])</f>
        <v>6.0633064141836068E-3</v>
      </c>
    </row>
    <row r="190" spans="1:9" x14ac:dyDescent="0.35">
      <c r="A190" s="1">
        <v>45775</v>
      </c>
      <c r="B190" t="s">
        <v>30</v>
      </c>
      <c r="C190">
        <v>1693</v>
      </c>
      <c r="D190">
        <v>154</v>
      </c>
      <c r="E190">
        <v>445944</v>
      </c>
      <c r="F190">
        <v>5.69</v>
      </c>
      <c r="G190">
        <v>14216</v>
      </c>
      <c r="H190">
        <f>Engagement_Summary[[#This Row],[New_Followers]]-Engagement_Summary[[#This Row],[Unfollows]]</f>
        <v>1539</v>
      </c>
      <c r="I190" s="5">
        <f>Engagement_Summary[[#This Row],[Follower Growth]]/(Engagement_Summary[[#This Row],[Total_Followers]]-Engagement_Summary[[#This Row],[Follower Growth]])</f>
        <v>3.4630573463394878E-3</v>
      </c>
    </row>
    <row r="191" spans="1:9" x14ac:dyDescent="0.35">
      <c r="A191" s="1">
        <v>45775</v>
      </c>
      <c r="B191" t="s">
        <v>31</v>
      </c>
      <c r="C191">
        <v>833</v>
      </c>
      <c r="D191">
        <v>380</v>
      </c>
      <c r="E191">
        <v>224830</v>
      </c>
      <c r="F191">
        <v>3.86</v>
      </c>
      <c r="G191">
        <v>3582</v>
      </c>
      <c r="H191">
        <f>Engagement_Summary[[#This Row],[New_Followers]]-Engagement_Summary[[#This Row],[Unfollows]]</f>
        <v>453</v>
      </c>
      <c r="I191" s="5">
        <f>Engagement_Summary[[#This Row],[Follower Growth]]/(Engagement_Summary[[#This Row],[Total_Followers]]-Engagement_Summary[[#This Row],[Follower Growth]])</f>
        <v>2.0189235082027123E-3</v>
      </c>
    </row>
    <row r="192" spans="1:9" x14ac:dyDescent="0.35">
      <c r="A192" s="1">
        <v>45775</v>
      </c>
      <c r="B192" t="s">
        <v>32</v>
      </c>
      <c r="C192">
        <v>1222</v>
      </c>
      <c r="D192">
        <v>274</v>
      </c>
      <c r="E192">
        <v>487289</v>
      </c>
      <c r="F192">
        <v>3.16</v>
      </c>
      <c r="G192">
        <v>32500</v>
      </c>
      <c r="H192">
        <f>Engagement_Summary[[#This Row],[New_Followers]]-Engagement_Summary[[#This Row],[Unfollows]]</f>
        <v>948</v>
      </c>
      <c r="I192" s="5">
        <f>Engagement_Summary[[#This Row],[Follower Growth]]/(Engagement_Summary[[#This Row],[Total_Followers]]-Engagement_Summary[[#This Row],[Follower Growth]])</f>
        <v>1.9492496005888871E-3</v>
      </c>
    </row>
    <row r="193" spans="1:9" x14ac:dyDescent="0.35">
      <c r="A193" s="1">
        <v>45775</v>
      </c>
      <c r="B193" t="s">
        <v>33</v>
      </c>
      <c r="C193">
        <v>777</v>
      </c>
      <c r="D193">
        <v>140</v>
      </c>
      <c r="E193">
        <v>11435</v>
      </c>
      <c r="F193">
        <v>1.6</v>
      </c>
      <c r="G193">
        <v>6832</v>
      </c>
      <c r="H193">
        <f>Engagement_Summary[[#This Row],[New_Followers]]-Engagement_Summary[[#This Row],[Unfollows]]</f>
        <v>637</v>
      </c>
      <c r="I193" s="5">
        <f>Engagement_Summary[[#This Row],[Follower Growth]]/(Engagement_Summary[[#This Row],[Total_Followers]]-Engagement_Summary[[#This Row],[Follower Growth]])</f>
        <v>5.8992406001111317E-2</v>
      </c>
    </row>
    <row r="194" spans="1:9" x14ac:dyDescent="0.35">
      <c r="A194" s="1">
        <v>45782</v>
      </c>
      <c r="B194" t="s">
        <v>30</v>
      </c>
      <c r="C194">
        <v>1957</v>
      </c>
      <c r="D194">
        <v>76</v>
      </c>
      <c r="E194">
        <v>447902</v>
      </c>
      <c r="F194">
        <v>6.09</v>
      </c>
      <c r="G194">
        <v>33381</v>
      </c>
      <c r="H194">
        <f>Engagement_Summary[[#This Row],[New_Followers]]-Engagement_Summary[[#This Row],[Unfollows]]</f>
        <v>1881</v>
      </c>
      <c r="I194" s="5">
        <f>Engagement_Summary[[#This Row],[Follower Growth]]/(Engagement_Summary[[#This Row],[Total_Followers]]-Engagement_Summary[[#This Row],[Follower Growth]])</f>
        <v>4.2172902172767646E-3</v>
      </c>
    </row>
    <row r="195" spans="1:9" x14ac:dyDescent="0.35">
      <c r="A195" s="1">
        <v>45782</v>
      </c>
      <c r="B195" t="s">
        <v>31</v>
      </c>
      <c r="C195">
        <v>405</v>
      </c>
      <c r="D195">
        <v>66</v>
      </c>
      <c r="E195">
        <v>418696</v>
      </c>
      <c r="F195">
        <v>5.59</v>
      </c>
      <c r="G195">
        <v>48419</v>
      </c>
      <c r="H195">
        <f>Engagement_Summary[[#This Row],[New_Followers]]-Engagement_Summary[[#This Row],[Unfollows]]</f>
        <v>339</v>
      </c>
      <c r="I195" s="5">
        <f>Engagement_Summary[[#This Row],[Follower Growth]]/(Engagement_Summary[[#This Row],[Total_Followers]]-Engagement_Summary[[#This Row],[Follower Growth]])</f>
        <v>8.1031272334393834E-4</v>
      </c>
    </row>
    <row r="196" spans="1:9" x14ac:dyDescent="0.35">
      <c r="A196" s="1">
        <v>45782</v>
      </c>
      <c r="B196" t="s">
        <v>32</v>
      </c>
      <c r="C196">
        <v>1581</v>
      </c>
      <c r="D196">
        <v>71</v>
      </c>
      <c r="E196">
        <v>484364</v>
      </c>
      <c r="F196">
        <v>3.55</v>
      </c>
      <c r="G196">
        <v>16149</v>
      </c>
      <c r="H196">
        <f>Engagement_Summary[[#This Row],[New_Followers]]-Engagement_Summary[[#This Row],[Unfollows]]</f>
        <v>1510</v>
      </c>
      <c r="I196" s="5">
        <f>Engagement_Summary[[#This Row],[Follower Growth]]/(Engagement_Summary[[#This Row],[Total_Followers]]-Engagement_Summary[[#This Row],[Follower Growth]])</f>
        <v>3.1272392897231877E-3</v>
      </c>
    </row>
    <row r="197" spans="1:9" x14ac:dyDescent="0.35">
      <c r="A197" s="1">
        <v>45782</v>
      </c>
      <c r="B197" t="s">
        <v>33</v>
      </c>
      <c r="C197">
        <v>1035</v>
      </c>
      <c r="D197">
        <v>171</v>
      </c>
      <c r="E197">
        <v>148477</v>
      </c>
      <c r="F197">
        <v>5.21</v>
      </c>
      <c r="G197">
        <v>7541</v>
      </c>
      <c r="H197">
        <f>Engagement_Summary[[#This Row],[New_Followers]]-Engagement_Summary[[#This Row],[Unfollows]]</f>
        <v>864</v>
      </c>
      <c r="I197" s="5">
        <f>Engagement_Summary[[#This Row],[Follower Growth]]/(Engagement_Summary[[#This Row],[Total_Followers]]-Engagement_Summary[[#This Row],[Follower Growth]])</f>
        <v>5.8531430158590371E-3</v>
      </c>
    </row>
    <row r="198" spans="1:9" x14ac:dyDescent="0.35">
      <c r="A198" s="1">
        <v>45789</v>
      </c>
      <c r="B198" t="s">
        <v>30</v>
      </c>
      <c r="C198">
        <v>1765</v>
      </c>
      <c r="D198">
        <v>109</v>
      </c>
      <c r="E198">
        <v>468301</v>
      </c>
      <c r="F198">
        <v>1.82</v>
      </c>
      <c r="G198">
        <v>20042</v>
      </c>
      <c r="H198">
        <f>Engagement_Summary[[#This Row],[New_Followers]]-Engagement_Summary[[#This Row],[Unfollows]]</f>
        <v>1656</v>
      </c>
      <c r="I198" s="5">
        <f>Engagement_Summary[[#This Row],[Follower Growth]]/(Engagement_Summary[[#This Row],[Total_Followers]]-Engagement_Summary[[#This Row],[Follower Growth]])</f>
        <v>3.5487361913231685E-3</v>
      </c>
    </row>
    <row r="199" spans="1:9" x14ac:dyDescent="0.35">
      <c r="A199" s="1">
        <v>45789</v>
      </c>
      <c r="B199" t="s">
        <v>31</v>
      </c>
      <c r="C199">
        <v>837</v>
      </c>
      <c r="D199">
        <v>430</v>
      </c>
      <c r="E199">
        <v>364820</v>
      </c>
      <c r="F199">
        <v>4</v>
      </c>
      <c r="G199">
        <v>49400</v>
      </c>
      <c r="H199">
        <f>Engagement_Summary[[#This Row],[New_Followers]]-Engagement_Summary[[#This Row],[Unfollows]]</f>
        <v>407</v>
      </c>
      <c r="I199" s="5">
        <f>Engagement_Summary[[#This Row],[Follower Growth]]/(Engagement_Summary[[#This Row],[Total_Followers]]-Engagement_Summary[[#This Row],[Follower Growth]])</f>
        <v>1.1168646563102854E-3</v>
      </c>
    </row>
    <row r="200" spans="1:9" x14ac:dyDescent="0.35">
      <c r="A200" s="1">
        <v>45789</v>
      </c>
      <c r="B200" t="s">
        <v>32</v>
      </c>
      <c r="C200">
        <v>337</v>
      </c>
      <c r="D200">
        <v>68</v>
      </c>
      <c r="E200">
        <v>456298</v>
      </c>
      <c r="F200">
        <v>7.57</v>
      </c>
      <c r="G200">
        <v>4007</v>
      </c>
      <c r="H200">
        <f>Engagement_Summary[[#This Row],[New_Followers]]-Engagement_Summary[[#This Row],[Unfollows]]</f>
        <v>269</v>
      </c>
      <c r="I200" s="5">
        <f>Engagement_Summary[[#This Row],[Follower Growth]]/(Engagement_Summary[[#This Row],[Total_Followers]]-Engagement_Summary[[#This Row],[Follower Growth]])</f>
        <v>5.8987476673632601E-4</v>
      </c>
    </row>
    <row r="201" spans="1:9" x14ac:dyDescent="0.35">
      <c r="A201" s="1">
        <v>45789</v>
      </c>
      <c r="B201" t="s">
        <v>33</v>
      </c>
      <c r="C201">
        <v>119</v>
      </c>
      <c r="D201">
        <v>456</v>
      </c>
      <c r="E201">
        <v>82558</v>
      </c>
      <c r="F201">
        <v>6.81</v>
      </c>
      <c r="G201">
        <v>12174</v>
      </c>
      <c r="H201">
        <f>Engagement_Summary[[#This Row],[New_Followers]]-Engagement_Summary[[#This Row],[Unfollows]]</f>
        <v>-337</v>
      </c>
      <c r="I201" s="5">
        <f>Engagement_Summary[[#This Row],[Follower Growth]]/(Engagement_Summary[[#This Row],[Total_Followers]]-Engagement_Summary[[#This Row],[Follower Growth]])</f>
        <v>-4.0653839194161288E-3</v>
      </c>
    </row>
    <row r="202" spans="1:9" x14ac:dyDescent="0.35">
      <c r="A202" s="1"/>
      <c r="H202">
        <f>SUBTOTAL(101,Engagement_Summary[Follower Growth])</f>
        <v>800.52499999999998</v>
      </c>
      <c r="I202" s="4">
        <f>SUBTOTAL(101,Engagement_Summary[Growth Rate])</f>
        <v>7.6846332262466566E-3</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2B9C9-72A7-4B80-9592-DBF36255B018}">
  <dimension ref="A1:M5"/>
  <sheetViews>
    <sheetView topLeftCell="C1" zoomScale="70" zoomScaleNormal="70" workbookViewId="0">
      <selection activeCell="L2" sqref="L2"/>
    </sheetView>
  </sheetViews>
  <sheetFormatPr defaultRowHeight="14.5" x14ac:dyDescent="0.35"/>
  <cols>
    <col min="1" max="1" width="17.36328125" bestFit="1" customWidth="1"/>
    <col min="2" max="2" width="12.1796875" bestFit="1" customWidth="1"/>
    <col min="3" max="3" width="11.26953125" bestFit="1" customWidth="1"/>
    <col min="4" max="4" width="19.81640625" bestFit="1" customWidth="1"/>
    <col min="5" max="5" width="14.26953125" bestFit="1" customWidth="1"/>
    <col min="6" max="6" width="17.7265625" bestFit="1" customWidth="1"/>
    <col min="7" max="7" width="30.36328125" bestFit="1" customWidth="1"/>
    <col min="8" max="8" width="25.54296875" bestFit="1" customWidth="1"/>
    <col min="9" max="9" width="33.453125" bestFit="1" customWidth="1"/>
    <col min="10" max="10" width="18.54296875" customWidth="1"/>
    <col min="11" max="11" width="23.1796875" bestFit="1" customWidth="1"/>
    <col min="12" max="12" width="26.08984375" bestFit="1" customWidth="1"/>
    <col min="13" max="13" width="17.1796875" bestFit="1" customWidth="1"/>
  </cols>
  <sheetData>
    <row r="1" spans="1:13" ht="15" thickBot="1" x14ac:dyDescent="0.4">
      <c r="A1" s="10" t="s">
        <v>0</v>
      </c>
      <c r="B1" s="11" t="s">
        <v>1</v>
      </c>
      <c r="C1" s="11" t="s">
        <v>2</v>
      </c>
      <c r="D1" s="11" t="s">
        <v>3</v>
      </c>
      <c r="E1" s="11" t="s">
        <v>4</v>
      </c>
      <c r="F1" s="11" t="s">
        <v>5</v>
      </c>
      <c r="G1" s="11" t="s">
        <v>6</v>
      </c>
      <c r="H1" s="11" t="s">
        <v>414</v>
      </c>
      <c r="I1" s="11" t="s">
        <v>386</v>
      </c>
      <c r="J1" s="20" t="s">
        <v>387</v>
      </c>
      <c r="K1" s="20" t="s">
        <v>390</v>
      </c>
      <c r="L1" s="20" t="s">
        <v>391</v>
      </c>
      <c r="M1" s="20" t="s">
        <v>361</v>
      </c>
    </row>
    <row r="2" spans="1:13" ht="15.5" thickTop="1" thickBot="1" x14ac:dyDescent="0.4">
      <c r="A2" s="12" t="s">
        <v>7</v>
      </c>
      <c r="B2" s="13">
        <v>45458</v>
      </c>
      <c r="C2" s="13">
        <v>45488</v>
      </c>
      <c r="D2" s="14" t="s">
        <v>8</v>
      </c>
      <c r="E2" s="14">
        <v>150000</v>
      </c>
      <c r="F2" s="14" t="s">
        <v>9</v>
      </c>
      <c r="G2" s="14" t="s">
        <v>10</v>
      </c>
      <c r="H2" s="21">
        <f>AVERAGEIFS(Posts_1[Engagement Rate],Posts_1[Date],"&gt;="&amp;Table6[[#This Row],[Start_Date]],Posts_1[Date],"&lt;="&amp;Table6[[#This Row],[End_Date]])*100</f>
        <v>10.340277163772086</v>
      </c>
      <c r="I2" s="21">
        <f>AVERAGEIFS(Posts_1[Engagement Rate],Posts_1[Date],"&gt;="&amp;Table6[[#This Row],[Start_Date]]-30,Posts_1[Date],"&lt;="&amp;Table6[[#This Row],[Start_Date]]-1)*100</f>
        <v>22.90199820628969</v>
      </c>
      <c r="J2" s="4">
        <f>(Table6[[#This Row],[Engagement Rate (During)]]-Table6[[#This Row],[Engagement Rate (Before - 30 Days)]])/Table6[[#This Row],[Engagement Rate (Before - 30 Days)]]</f>
        <v>-0.54849890954352254</v>
      </c>
      <c r="K2" s="7">
        <f>SUMIFS(Posts_1[Engagements],Posts_1[Date],"&gt;="&amp;Table6[[#This Row],[Start_Date]],Posts_1[Date],"&lt;="&amp;Table6[[#This Row],[End_Date]])</f>
        <v>103773</v>
      </c>
      <c r="L2" s="22">
        <f>Table6[[#This Row],[Total_Budget]]/Table6[[#This Row],[Engagements]]</f>
        <v>1.4454626926079037</v>
      </c>
      <c r="M2">
        <f>SUMIFS(Engagement_Summary[Follower Growth],Engagement_Summary[Week_Start_Date],"&gt;="&amp;Table6[[#This Row],[Start_Date]],Engagement_Summary[Week_Start_Date],"&lt;="&amp;Table6[[#This Row],[End_Date]]-7)</f>
        <v>11253</v>
      </c>
    </row>
    <row r="3" spans="1:13" ht="15.5" thickTop="1" thickBot="1" x14ac:dyDescent="0.4">
      <c r="A3" s="15" t="s">
        <v>11</v>
      </c>
      <c r="B3" s="16">
        <v>45566</v>
      </c>
      <c r="C3" s="16">
        <v>45596</v>
      </c>
      <c r="D3" s="8" t="s">
        <v>12</v>
      </c>
      <c r="E3" s="8">
        <v>200000</v>
      </c>
      <c r="F3" s="8" t="s">
        <v>13</v>
      </c>
      <c r="G3" s="8" t="s">
        <v>14</v>
      </c>
      <c r="H3" s="21">
        <f>AVERAGEIFS(Posts_1[Engagement Rate],Posts_1[Date],"&gt;="&amp;Table6[[#This Row],[Start_Date]],Posts_1[Date],"&lt;="&amp;Table6[[#This Row],[End_Date]])*100</f>
        <v>13.223504562639771</v>
      </c>
      <c r="I3" s="21">
        <f>AVERAGEIFS(Posts_1[Engagement Rate],Posts_1[Date],"&gt;="&amp;Table6[[#This Row],[Start_Date]]-30,Posts_1[Date],"&lt;="&amp;Table6[[#This Row],[Start_Date]]-1)*100</f>
        <v>12.96707939392587</v>
      </c>
      <c r="J3" s="4">
        <f>(Table6[[#This Row],[Engagement Rate (During)]]-Table6[[#This Row],[Engagement Rate (Before - 30 Days)]])/Table6[[#This Row],[Engagement Rate (Before - 30 Days)]]</f>
        <v>1.9775090513752706E-2</v>
      </c>
      <c r="K3" s="7">
        <f>SUMIFS(Posts_1[Engagements],Posts_1[Date],"&gt;="&amp;Table6[[#This Row],[Start_Date]],Posts_1[Date],"&lt;="&amp;Table6[[#This Row],[End_Date]])</f>
        <v>137691</v>
      </c>
      <c r="L3" s="22">
        <f>Table6[[#This Row],[Total_Budget]]/Table6[[#This Row],[Engagements]]</f>
        <v>1.4525277614368404</v>
      </c>
      <c r="M3">
        <f>SUMIFS(Engagement_Summary[Follower Growth],Engagement_Summary[Week_Start_Date],"&gt;="&amp;Table6[[#This Row],[Start_Date]],Engagement_Summary[Week_Start_Date],"&lt;="&amp;Table6[[#This Row],[End_Date]]-7)</f>
        <v>8436</v>
      </c>
    </row>
    <row r="4" spans="1:13" ht="15.5" thickTop="1" thickBot="1" x14ac:dyDescent="0.4">
      <c r="A4" s="17" t="s">
        <v>15</v>
      </c>
      <c r="B4" s="18">
        <v>45651</v>
      </c>
      <c r="C4" s="18">
        <v>45667</v>
      </c>
      <c r="D4" s="19" t="s">
        <v>16</v>
      </c>
      <c r="E4" s="19">
        <v>250000</v>
      </c>
      <c r="F4" s="19" t="s">
        <v>17</v>
      </c>
      <c r="G4" s="19" t="s">
        <v>18</v>
      </c>
      <c r="H4" s="21">
        <f>AVERAGEIFS(Posts_1[Engagement Rate],Posts_1[Date],"&gt;="&amp;Table6[[#This Row],[Start_Date]],Posts_1[Date],"&lt;="&amp;Table6[[#This Row],[End_Date]])*100</f>
        <v>15.012452603301554</v>
      </c>
      <c r="I4" s="21">
        <f>AVERAGEIFS(Posts_1[Engagement Rate],Posts_1[Date],"&gt;="&amp;Table6[[#This Row],[Start_Date]]-30,Posts_1[Date],"&lt;="&amp;Table6[[#This Row],[Start_Date]]-1)*100</f>
        <v>14.479916935875103</v>
      </c>
      <c r="J4" s="4">
        <f>(Table6[[#This Row],[Engagement Rate (During)]]-Table6[[#This Row],[Engagement Rate (Before - 30 Days)]])/Table6[[#This Row],[Engagement Rate (Before - 30 Days)]]</f>
        <v>3.6777536071843982E-2</v>
      </c>
      <c r="K4" s="7">
        <f>SUMIFS(Posts_1[Engagements],Posts_1[Date],"&gt;="&amp;Table6[[#This Row],[Start_Date]],Posts_1[Date],"&lt;="&amp;Table6[[#This Row],[End_Date]])</f>
        <v>33044</v>
      </c>
      <c r="L4" s="22">
        <f>Table6[[#This Row],[Total_Budget]]/Table6[[#This Row],[Engagements]]</f>
        <v>7.5656700157365933</v>
      </c>
      <c r="M4">
        <f>SUMIFS(Engagement_Summary[Follower Growth],Engagement_Summary[Week_Start_Date],"&gt;="&amp;Table6[[#This Row],[Start_Date]],Engagement_Summary[Week_Start_Date],"&lt;="&amp;Table6[[#This Row],[End_Date]]-7)</f>
        <v>6530</v>
      </c>
    </row>
    <row r="5" spans="1:13" ht="15" thickTop="1" x14ac:dyDescent="0.35">
      <c r="A5" s="15" t="s">
        <v>19</v>
      </c>
      <c r="B5" s="16">
        <v>45717</v>
      </c>
      <c r="C5" s="16">
        <v>45747</v>
      </c>
      <c r="D5" s="8" t="s">
        <v>20</v>
      </c>
      <c r="E5" s="8">
        <v>180000</v>
      </c>
      <c r="F5" s="8" t="s">
        <v>21</v>
      </c>
      <c r="G5" s="8" t="s">
        <v>22</v>
      </c>
      <c r="H5" s="21">
        <f>AVERAGEIFS(Posts_1[Engagement Rate],Posts_1[Date],"&gt;="&amp;Table6[[#This Row],[Start_Date]],Posts_1[Date],"&lt;="&amp;Table6[[#This Row],[End_Date]])*100</f>
        <v>12.121037527354304</v>
      </c>
      <c r="I5" s="21">
        <f>AVERAGEIFS(Posts_1[Engagement Rate],Posts_1[Date],"&gt;="&amp;Table6[[#This Row],[Start_Date]]-30,Posts_1[Date],"&lt;="&amp;Table6[[#This Row],[Start_Date]]-1)*100</f>
        <v>19.313845276821624</v>
      </c>
      <c r="J5" s="4">
        <f>(Table6[[#This Row],[Engagement Rate (During)]]-Table6[[#This Row],[Engagement Rate (Before - 30 Days)]])/Table6[[#This Row],[Engagement Rate (Before - 30 Days)]]</f>
        <v>-0.37241717774861466</v>
      </c>
      <c r="K5" s="7">
        <f>SUMIFS(Posts_1[Engagements],Posts_1[Date],"&gt;="&amp;Table6[[#This Row],[Start_Date]],Posts_1[Date],"&lt;="&amp;Table6[[#This Row],[End_Date]])</f>
        <v>106020</v>
      </c>
      <c r="L5" s="22">
        <f>Table6[[#This Row],[Total_Budget]]/Table6[[#This Row],[Engagements]]</f>
        <v>1.6977928692699491</v>
      </c>
      <c r="M5">
        <f>SUMIFS(Engagement_Summary[Follower Growth],Engagement_Summary[Week_Start_Date],"&gt;="&amp;Table6[[#This Row],[Start_Date]],Engagement_Summary[Week_Start_Date],"&lt;="&amp;Table6[[#This Row],[End_Date]]-7)</f>
        <v>11780</v>
      </c>
    </row>
  </sheetData>
  <phoneticPr fontId="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9F737B-0CB5-40E0-AE8A-5888D88D8C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Engagement Analysis 1</vt:lpstr>
      <vt:lpstr>Engagement Analysis 2</vt:lpstr>
      <vt:lpstr>Platform Analysis 1</vt:lpstr>
      <vt:lpstr>Platform Analysis 2</vt:lpstr>
      <vt:lpstr>Hashtag &amp; Content Strategy 1</vt:lpstr>
      <vt:lpstr>Hashtag &amp; Content Strategy 2</vt:lpstr>
      <vt:lpstr>Campaign Effectiveness 1</vt:lpstr>
      <vt:lpstr>Campaign Effectiveness 2</vt:lpstr>
      <vt:lpstr>Follower Retention &amp; Loyalty 1</vt:lpstr>
      <vt:lpstr>Follower Retention &amp; Loyalty 2</vt:lpstr>
      <vt:lpstr>Summary Dashboard</vt:lpstr>
      <vt:lpstr>Video Link</vt:lpstr>
      <vt:lpstr>Posts_1</vt:lpstr>
      <vt:lpstr>Posts</vt:lpstr>
      <vt:lpstr>Engagement Summary</vt:lpstr>
      <vt:lpstr>Campaign 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VS</dc:creator>
  <cp:lastModifiedBy>Office</cp:lastModifiedBy>
  <dcterms:created xsi:type="dcterms:W3CDTF">2015-06-05T18:17:20Z</dcterms:created>
  <dcterms:modified xsi:type="dcterms:W3CDTF">2026-04-02T15:55:26Z</dcterms:modified>
</cp:coreProperties>
</file>